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jose/Downloads/"/>
    </mc:Choice>
  </mc:AlternateContent>
  <xr:revisionPtr revIDLastSave="0" documentId="11_D488148A3F716E0EC727C5C895D04888A67D960C" xr6:coauthVersionLast="47" xr6:coauthVersionMax="47" xr10:uidLastSave="{00000000-0000-0000-0000-000000000000}"/>
  <bookViews>
    <workbookView xWindow="0" yWindow="660" windowWidth="34560" windowHeight="20280" tabRatio="500" activeTab="2" xr2:uid="{00000000-000D-0000-FFFF-FFFF00000000}"/>
  </bookViews>
  <sheets>
    <sheet name="Instrucciones" sheetId="1" r:id="rId1"/>
    <sheet name="Requisitos" sheetId="2" r:id="rId2"/>
    <sheet name="Calculo_Referencia" sheetId="3" r:id="rId3"/>
    <sheet name="Catalogo" sheetId="4" r:id="rId4"/>
    <sheet name="Verificacion" sheetId="5" r:id="rId5"/>
    <sheet name="Matriz" sheetId="6" r:id="rId6"/>
    <sheet name="Cobertura" sheetId="7" r:id="rId7"/>
    <sheet name="Riesgos" sheetId="8" r:id="rId8"/>
    <sheet name="Listas" sheetId="9" r:id="rId9"/>
  </sheet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<sst xmlns="http://schemas.openxmlformats.org/spreadsheetml/2006/main" count="675" uniqueCount="365">
  <si>
    <t>Plantilla E1 · Catálogo de casos de prueba y matriz de trazabilidad</t>
  </si>
  <si>
    <t>Pruebas de Software · Proyecto Nuclear · Sistema web de predicción de demanda · Corte 1 (vence el 23/10/2026)</t>
  </si>
  <si>
    <t>QUÉ ES ESTE ARCHIVO</t>
  </si>
  <si>
    <t>Un solo libro de Excel que sirve para el Anexo A del Plan maestro (catálogo de casos) y para el entregable E1.2 (matriz de trazabilidad). Contiene un EJEMPLO COMPLETO ya diligenciado para el sistema de predicción de demanda. Bórralo y escribe el de tu equipo.</t>
  </si>
  <si>
    <t>HOJAS</t>
  </si>
  <si>
    <t>Requisitos → lista de requisitos del backlog. Todo parte de aquí.</t>
  </si>
  <si>
    <t>Catalogo → un caso de prueba por fila (ID, requisito, técnica, datos de entrada, resultado esperado, tolerancia…).</t>
  </si>
  <si>
    <t>Verificacion → compara el valor del sistema con el valor de referencia de Producción y calcula APROBADO / FALLIDO con la tolerancia.</t>
  </si>
  <si>
    <t>Calculo_Referencia → el cálculo independiente en Excel (promedio móvil, suavización exponencial, regresión, MAD, MSE, MAPE). Es lo que hace Producción.</t>
  </si>
  <si>
    <t>Matriz → trazabilidad: qué casos verifican cada requisito. Detecta requisitos sin cobertura.</t>
  </si>
  <si>
    <t>Cobertura → revisa tu entrega: % de requisitos cubiertos, mínimo de casos, casos huérfanos. Se calcula solo.</t>
  </si>
  <si>
    <t>Riesgos → matriz de riesgos (exposición = probabilidad × impacto) para priorizar las pruebas.</t>
  </si>
  <si>
    <t>Listas → apoya las listas desplegables. No la toques.</t>
  </si>
  <si>
    <t>CÓDIGO DE COLORES</t>
  </si>
  <si>
    <t>Texto AZUL = datos que tú escribes · Texto NEGRO = fórmulas (no las borres) · Texto VERDE = vínculo a otra hoja · Celda AMARILLA = dato clave que debes completar (valor del sistema, α).</t>
  </si>
  <si>
    <t>CÓMO USARLO (PASO A PASO)</t>
  </si>
  <si>
    <t>1. Escribe los requisitos en la hoja Requisitos (los del backlog acordado con Producción).</t>
  </si>
  <si>
    <t>2. Pide a Producción su Excel de cálculo de referencia. Si aún no lo tienes, usa Calculo_Referencia como modelo para construir el tuyo.</t>
  </si>
  <si>
    <t>3. En Catalogo escribe un caso por fila. Elige el ID de requisito de la lista: la columna Módulo se completa sola.</t>
  </si>
  <si>
    <t>4. Para los casos de verificación numérica, agrega la fila correspondiente en Verificacion con el valor de referencia y la tolerancia acordada.</t>
  </si>
  <si>
    <t>5. En Matriz escribe la lista de casos de cada requisito (la columna N.º casos se calcula sola y debe coincidir con tu lista).</t>
  </si>
  <si>
    <t>6. Abre Cobertura: no debe haber requisitos funcionales sin cobertura; mínimo 20 casos y 8 de verificación numérica.</t>
  </si>
  <si>
    <t>7. En el corte 2, al ejecutar, llena "Valor del sistema" en Verificacion y el veredicto de los demás casos en Catalogo.</t>
  </si>
  <si>
    <t>EN EL EJEMPLO HAY DOS COSAS INTENCIONALES (para aprender)</t>
  </si>
  <si>
    <t>• RF-04 y RNF-03 no tienen casos de prueba: la Matriz y la Cobertura los marcan en rojo. En tu entrega no puede quedar ningún requisito funcional sin caso.</t>
  </si>
  <si>
    <t>• CP-006 sale FALLIDO: el "sistema" ficticio dividió el error por el pronóstico en lugar de la demanda real (8,37 en vez de 7,62). Es el defecto DEF-001. Así se descubre un error de cálculo.</t>
  </si>
  <si>
    <t>REGLAS IMPORTANTES</t>
  </si>
  <si>
    <t>• El valor esperado sale de un cálculo INDEPENDIENTE (Excel de Producción), nunca del código del sistema.</t>
  </si>
  <si>
    <t>• Los decimales se comparan con TOLERANCIA, no con igualdad exacta. La tolerancia se acuerda con Producción y se firma en el plan maestro (en el ejemplo: 0,01).</t>
  </si>
  <si>
    <t>• Las reglas de los casos límite y de permisos (por ejemplo, qué hace el sistema si la demanda real es 0, o si el supervisor puede configurar umbrales) son supuestos del ejemplo: acuérdalas con Producción.</t>
  </si>
  <si>
    <t>• Anonimiza los datos de las empresas (Ley 1581 de 2012).</t>
  </si>
  <si>
    <t>Requisitos del sistema de predicción de demanda</t>
  </si>
  <si>
    <t>Aquí listas los requisitos del backlog (levantados con Producción). La Matriz y la Cobertura se alimentan de esta hoja. Celdas azules = datos que tú escribes.</t>
  </si>
  <si>
    <t>ID requisito</t>
  </si>
  <si>
    <t>Descripción</t>
  </si>
  <si>
    <t>Módulo</t>
  </si>
  <si>
    <t>Tipo</t>
  </si>
  <si>
    <t>Prioridad</t>
  </si>
  <si>
    <t>RF-01</t>
  </si>
  <si>
    <t>Registrar, consultar, actualizar y eliminar series de producción y demanda por producto, línea y período</t>
  </si>
  <si>
    <t>Gestión de datos</t>
  </si>
  <si>
    <t>Funcional</t>
  </si>
  <si>
    <t>Alta</t>
  </si>
  <si>
    <t>RF-02</t>
  </si>
  <si>
    <t>Cargar series de tiempo desde archivo CSV validando el formato</t>
  </si>
  <si>
    <t>RF-03</t>
  </si>
  <si>
    <t>Detectar y marcar datos atípicos y faltantes en la serie</t>
  </si>
  <si>
    <t>Media</t>
  </si>
  <si>
    <t>RF-04</t>
  </si>
  <si>
    <t>Registrar la capacidad disponible por centro de trabajo</t>
  </si>
  <si>
    <t>RF-05</t>
  </si>
  <si>
    <t>Calcular el pronóstico por promedio móvil con ventana configurable</t>
  </si>
  <si>
    <t>Pronóstico</t>
  </si>
  <si>
    <t>RF-06</t>
  </si>
  <si>
    <t>Calcular el pronóstico por suavización exponencial simple con α configurable</t>
  </si>
  <si>
    <t>RF-07</t>
  </si>
  <si>
    <t>Calcular el pronóstico por suavización exponencial con tendencia (método de Holt)</t>
  </si>
  <si>
    <t>RF-08</t>
  </si>
  <si>
    <t>Calcular el pronóstico por regresión lineal</t>
  </si>
  <si>
    <t>RF-09</t>
  </si>
  <si>
    <t>Calcular MAD, MSE y MAPE por método y por producto</t>
  </si>
  <si>
    <t>RF-10</t>
  </si>
  <si>
    <t>Generar alerta cuando el error del pronóstico supere un umbral configurable</t>
  </si>
  <si>
    <t>Indicadores y reportes</t>
  </si>
  <si>
    <t>RF-11</t>
  </si>
  <si>
    <t>Mostrar en el dashboard la comparación pronóstico vs. real con sesgo acumulado</t>
  </si>
  <si>
    <t>RF-12</t>
  </si>
  <si>
    <t>Exportar reportes de predicciones e indicadores en PDF y Excel</t>
  </si>
  <si>
    <t>RF-13</t>
  </si>
  <si>
    <t>Autenticar usuarios con cuatro roles (administrador, planeador, supervisor de línea, analista de datos) y controlar permisos</t>
  </si>
  <si>
    <t>Autenticación y roles</t>
  </si>
  <si>
    <t>RNF-01</t>
  </si>
  <si>
    <t>Rendimiento: calcular los pronósticos de 500 series en máximo 10 s (umbral de ejemplo; se define en el plan)</t>
  </si>
  <si>
    <t>No funcional</t>
  </si>
  <si>
    <t>RNF-02</t>
  </si>
  <si>
    <t>Seguridad: ninguna ruta ni API protegida accesible sin sesión válida</t>
  </si>
  <si>
    <t>RNF-03</t>
  </si>
  <si>
    <t>Accesibilidad básica (WCAG 2.1): contraste, etiquetas de formulario y navegación con teclado</t>
  </si>
  <si>
    <t>Transversal</t>
  </si>
  <si>
    <t>Cálculo de referencia en Excel (lo que hace Producción)</t>
  </si>
  <si>
    <t>Este es el "valor esperado independiente". El sistema se verifica contra estas celdas. Azul = datos de entrada; negro = fórmulas. Promedio móvil de 3 períodos y suavización con α editable.</t>
  </si>
  <si>
    <t>Período t</t>
  </si>
  <si>
    <t>Demanda real</t>
  </si>
  <si>
    <t>MA(3) pronóstico</t>
  </si>
  <si>
    <t>Error</t>
  </si>
  <si>
    <t>|Error|</t>
  </si>
  <si>
    <t>Error²</t>
  </si>
  <si>
    <t>|Error|/Real</t>
  </si>
  <si>
    <t>SES pronóstico</t>
  </si>
  <si>
    <t>Parámetros</t>
  </si>
  <si>
    <t>Valor</t>
  </si>
  <si>
    <t>α (suavización exponencial)</t>
  </si>
  <si>
    <t>Ventana del promedo móvil</t>
  </si>
  <si>
    <t>La ventana está fija en 3 en las fórmulas de la columna C (informativo).</t>
  </si>
  <si>
    <t>Resumen (valores de referencia)</t>
  </si>
  <si>
    <t>MA(3) · MAD</t>
  </si>
  <si>
    <t>MA(3) · MSE</t>
  </si>
  <si>
    <t>MA(3) · MAPE (%)</t>
  </si>
  <si>
    <t>MA(3) · pronóstico t=7</t>
  </si>
  <si>
    <t>Cómo leerlo: cambia α (celda amarilla) o una demanda (azul) y todo se recalcula. Así Producción obtiene el "valor esperado" que se usa en la hoja Verificacion.</t>
  </si>
  <si>
    <t>SES · pronóstico t=7</t>
  </si>
  <si>
    <t>Convención: la suavización exponencial toma como primer pronóstico F₂ = D₁. Si el sistema usa otra convención, se acuerda por escrito con Producción antes de probar.</t>
  </si>
  <si>
    <t>SES · MAD (t=2 a 6)</t>
  </si>
  <si>
    <t>SES · MSE (t=2 a 6)</t>
  </si>
  <si>
    <t>SES · MAPE (%) (t=2 a 6)</t>
  </si>
  <si>
    <t>Regresión · intercepto a</t>
  </si>
  <si>
    <t>Regresión · pendiente b</t>
  </si>
  <si>
    <t>Regresión · pronóstico t=7</t>
  </si>
  <si>
    <t>Catálogo de casos de prueba (Anexo A del plan maestro)</t>
  </si>
  <si>
    <t>Un caso por fila. Azul = lo escribes tú. Módulo se completa solo según el requisito. Los casos CP-001 a CP-008 toman su veredicto de la hoja Verificacion.</t>
  </si>
  <si>
    <t>ID caso</t>
  </si>
  <si>
    <t>Módulo (auto)</t>
  </si>
  <si>
    <t>Nivel</t>
  </si>
  <si>
    <t>Técnica</t>
  </si>
  <si>
    <t>Precondiciones</t>
  </si>
  <si>
    <t>Datos de entrada</t>
  </si>
  <si>
    <t>Pasos</t>
  </si>
  <si>
    <t>Resultado esperado</t>
  </si>
  <si>
    <t>Tolerancia</t>
  </si>
  <si>
    <t>Resultado obtenido</t>
  </si>
  <si>
    <t>Veredicto</t>
  </si>
  <si>
    <t>Defecto asociado</t>
  </si>
  <si>
    <t>Ejecutor</t>
  </si>
  <si>
    <t>Fecha</t>
  </si>
  <si>
    <t>CP-001</t>
  </si>
  <si>
    <t>Unitaria</t>
  </si>
  <si>
    <t>Verificación numérica</t>
  </si>
  <si>
    <t>Serie A cargada (6 períodos)</t>
  </si>
  <si>
    <t>Serie 120,132,128,141,138,150; método MA; ventana 3</t>
  </si>
  <si>
    <t>Ejecutar pronóstico MA(3)</t>
  </si>
  <si>
    <t>Pronóstico del período 4 = 126,67</t>
  </si>
  <si>
    <t>CP-002</t>
  </si>
  <si>
    <t>Ídem CP-001</t>
  </si>
  <si>
    <t>Pronóstico del período 5 = 133,67</t>
  </si>
  <si>
    <t>CP-003</t>
  </si>
  <si>
    <t>Pronóstico del período 6 = 135,67</t>
  </si>
  <si>
    <t>CP-004</t>
  </si>
  <si>
    <t>Calcular MAD sobre períodos 4 a 6</t>
  </si>
  <si>
    <t>MAD = 11,00</t>
  </si>
  <si>
    <t>CP-005</t>
  </si>
  <si>
    <t>Calcular MSE sobre períodos 4 a 6</t>
  </si>
  <si>
    <t>MSE = 143,22</t>
  </si>
  <si>
    <t>CP-006</t>
  </si>
  <si>
    <t>Calcular MAPE sobre períodos 4 a 6</t>
  </si>
  <si>
    <t>MAPE = 7,62 % (dividiendo por la demanda real)</t>
  </si>
  <si>
    <t>DEF-001</t>
  </si>
  <si>
    <t>CP-007</t>
  </si>
  <si>
    <t>Serie A cargada</t>
  </si>
  <si>
    <t>Misma serie; método SES; α = 0,3; F₂ = D₁</t>
  </si>
  <si>
    <t>Ejecutar pronóstico SES</t>
  </si>
  <si>
    <t>Pronóstico del período 7 = 137,55</t>
  </si>
  <si>
    <t>CP-008</t>
  </si>
  <si>
    <t>Misma serie; método regresión lineal</t>
  </si>
  <si>
    <t>Ejecutar pronóstico por regresión</t>
  </si>
  <si>
    <t>Pronóstico del período 7 = 152,93</t>
  </si>
  <si>
    <t>CP-009</t>
  </si>
  <si>
    <t>Valores límite</t>
  </si>
  <si>
    <t>Serie con demanda real = 0 en un período</t>
  </si>
  <si>
    <t>Serie 100, 0, 120, 110</t>
  </si>
  <si>
    <t>Calcular MAPE</t>
  </si>
  <si>
    <t>El sistema no falla: excluye el período con 0 del MAPE y muestra advertencia (comportamiento a acordar con Producción)</t>
  </si>
  <si>
    <t>N/A</t>
  </si>
  <si>
    <t>PENDIENTE</t>
  </si>
  <si>
    <t>CP-010</t>
  </si>
  <si>
    <t>Serie con 2 períodos</t>
  </si>
  <si>
    <t>Serie 100, 110; ventana 3</t>
  </si>
  <si>
    <t>Ejecutar MA con ventana mayor que los datos</t>
  </si>
  <si>
    <t>Rechaza el cálculo con mensaje "períodos insuficientes"</t>
  </si>
  <si>
    <t>CP-011</t>
  </si>
  <si>
    <t>α = 1,2 (y también α = −0,1)</t>
  </si>
  <si>
    <t>Ejecutar SES con α fuera de [0, 1]</t>
  </si>
  <si>
    <t>Rechaza el valor con mensaje de rango válido</t>
  </si>
  <si>
    <t>CP-012</t>
  </si>
  <si>
    <t>β = 1,5</t>
  </si>
  <si>
    <t>Ejecutar Holt con β fuera de [0, 1]</t>
  </si>
  <si>
    <t>CP-013</t>
  </si>
  <si>
    <t>Serie sin datos</t>
  </si>
  <si>
    <t>Serie vacía</t>
  </si>
  <si>
    <t>Ejecutar MA</t>
  </si>
  <si>
    <t>No calcula; muestra mensaje "serie vacía"</t>
  </si>
  <si>
    <t>CP-014</t>
  </si>
  <si>
    <t>Integración</t>
  </si>
  <si>
    <t>Tabla de decisión</t>
  </si>
  <si>
    <t>Sesión iniciada como analista de datos</t>
  </si>
  <si>
    <t>Acción: eliminar un usuario</t>
  </si>
  <si>
    <t>Intentar eliminar usuario desde la pantalla y por la API</t>
  </si>
  <si>
    <t>Acceso denegado (403) y sin cambios en la base de datos</t>
  </si>
  <si>
    <t>CP-015</t>
  </si>
  <si>
    <t>Sesión como planeador de producción</t>
  </si>
  <si>
    <t>Acción: ejecutar pronóstico</t>
  </si>
  <si>
    <t>Ejecutar pronóstico sobre la serie A</t>
  </si>
  <si>
    <t>Acción permitida; se muestra el resultado</t>
  </si>
  <si>
    <t>CP-016</t>
  </si>
  <si>
    <t>Seguridad</t>
  </si>
  <si>
    <t>Sin sesión iniciada</t>
  </si>
  <si>
    <t>URL directa del dashboard y de la API de pronósticos</t>
  </si>
  <si>
    <t>Abrir la URL sin autenticarse</t>
  </si>
  <si>
    <t>Redirige al inicio de sesión / responde 401</t>
  </si>
  <si>
    <t>CP-017</t>
  </si>
  <si>
    <t>Sesión como supervisor de línea</t>
  </si>
  <si>
    <t>Acción: configurar umbral de alerta</t>
  </si>
  <si>
    <t>Intentar configurar el umbral (permisos según matriz acordada con Producción)</t>
  </si>
  <si>
    <t>Acceso denegado, según la matriz de permisos (supuesto a confirmar)</t>
  </si>
  <si>
    <t>CP-018</t>
  </si>
  <si>
    <t>Umbral de alerta configurado en 10 % de error</t>
  </si>
  <si>
    <t>Error de pronóstico exactamente igual al umbral</t>
  </si>
  <si>
    <t>Evaluar la alerta</t>
  </si>
  <si>
    <t>La alerta se activa (comportamiento "≥ umbral", a acordar con Producción)</t>
  </si>
  <si>
    <t>CP-019</t>
  </si>
  <si>
    <t>Umbral configurado en 10 %</t>
  </si>
  <si>
    <t>Error de 9,99 %</t>
  </si>
  <si>
    <t>No se activa la alerta</t>
  </si>
  <si>
    <t>CP-020</t>
  </si>
  <si>
    <t>Partición de equivalencia</t>
  </si>
  <si>
    <t>Sesión como analista de datos</t>
  </si>
  <si>
    <t>CSV válido con 24 períodos</t>
  </si>
  <si>
    <t>Cargar el archivo</t>
  </si>
  <si>
    <t>Se cargan los 24 períodos y se muestran en la serie</t>
  </si>
  <si>
    <t>CP-021</t>
  </si>
  <si>
    <t>CSV con texto ("abc") en la columna de demanda del período 7</t>
  </si>
  <si>
    <t>Rechaza la fila e indica el número de línea; el resto se procesa según la regla acordada</t>
  </si>
  <si>
    <t>CP-022</t>
  </si>
  <si>
    <t>Serie con el período 5 vacío</t>
  </si>
  <si>
    <t>Cargar la serie</t>
  </si>
  <si>
    <t>El período 5 queda marcado como faltante</t>
  </si>
  <si>
    <t>CP-023</t>
  </si>
  <si>
    <t>Producto A, línea 1, período mensual</t>
  </si>
  <si>
    <t>Crear, consultar, actualizar y eliminar la serie</t>
  </si>
  <si>
    <t>Cada operación se refleja correctamente en la base de datos</t>
  </si>
  <si>
    <t>CP-024</t>
  </si>
  <si>
    <t>Sistema/Funcional</t>
  </si>
  <si>
    <t>Basada en riesgo</t>
  </si>
  <si>
    <t>Pronóstico ejecutado sobre la serie A</t>
  </si>
  <si>
    <t>Serie A + pronóstico MA(3)</t>
  </si>
  <si>
    <t>Abrir el dashboard</t>
  </si>
  <si>
    <t>El gráfico muestra real y pronóstico y el sesgo acumulado coincide con el cálculo de referencia</t>
  </si>
  <si>
    <t>CP-025</t>
  </si>
  <si>
    <t>Dashboard con datos</t>
  </si>
  <si>
    <t>Exportar a PDF y a Excel</t>
  </si>
  <si>
    <t>Descargar ambos reportes</t>
  </si>
  <si>
    <t>Los valores del archivo coinciden con la pantalla</t>
  </si>
  <si>
    <t>CP-026</t>
  </si>
  <si>
    <t>Rendimiento</t>
  </si>
  <si>
    <t>Base con 500 series de 24 períodos</t>
  </si>
  <si>
    <t>Ejecutar el pronóstico para todas las series</t>
  </si>
  <si>
    <t>Medir el tiempo total</t>
  </si>
  <si>
    <t>Tiempo ≤ 10 s (umbral de ejemplo)</t>
  </si>
  <si>
    <t>Recuerda: mínimo 20 casos y 8 de verificación numérica (ver hoja Cobertura). Los casos de límite y de roles dependen de reglas que debes acordar con Producción; márcalas como "a acordar" mientras tanto.</t>
  </si>
  <si>
    <t>Verificación numérica: sistema vs. cálculo de referencia</t>
  </si>
  <si>
    <t>Columna C = valor del Excel de Producción (viene de Calculo_Referencia). Columna D = lo que devuelve el sistema (lo escribes al ejecutar). El veredicto se calcula solo.</t>
  </si>
  <si>
    <t>Qué se verifica</t>
  </si>
  <si>
    <t>Valor de referencia (Excel)</t>
  </si>
  <si>
    <t>Valor del sistema</t>
  </si>
  <si>
    <t>Diferencia absoluta</t>
  </si>
  <si>
    <t>Unidad</t>
  </si>
  <si>
    <t>MA(3) · pronóstico período 4</t>
  </si>
  <si>
    <t>unidades</t>
  </si>
  <si>
    <t>MA(3) · pronóstico período 5</t>
  </si>
  <si>
    <t>MA(3) · pronóstico período 6</t>
  </si>
  <si>
    <t>unidades²</t>
  </si>
  <si>
    <t>MA(3) · MAPE</t>
  </si>
  <si>
    <t>% (puntos)</t>
  </si>
  <si>
    <t>SES α=0,3 · pronóstico período 7</t>
  </si>
  <si>
    <t>Regresión lineal · pronóstico período 7</t>
  </si>
  <si>
    <t>Ejemplo intencional: CP-006 aparece FALLIDO porque el sistema (ficticio) dividió el error por el pronóstico en lugar de la demanda real (8,37 en vez de 7,62). Es un defecto típico: se registra como DEF-001.</t>
  </si>
  <si>
    <t>Tolerancia 0,01 = diferencia máxima aceptada, acordada con Producción y firmada en el plan maestro. Los valores del sistema están redondeados a 2 decimales.</t>
  </si>
  <si>
    <t>Matriz de trazabilidad requisitos–pruebas (E1.2)</t>
  </si>
  <si>
    <t>Se alimenta sola desde Requisitos y Catalogo. Tú completas: Casos de prueba (lista), Nivel/herramienta y Defectos. El estado y la cobertura se calculan.</t>
  </si>
  <si>
    <t>Casos de prueba (lista)</t>
  </si>
  <si>
    <t>N.º casos (auto)</t>
  </si>
  <si>
    <t>Cobertura (auto)</t>
  </si>
  <si>
    <t>Nivel / herramienta</t>
  </si>
  <si>
    <t>Estado (auto)</t>
  </si>
  <si>
    <t>Defectos asociados</t>
  </si>
  <si>
    <t>Integración / Supertest</t>
  </si>
  <si>
    <t>CP-020, CP-021</t>
  </si>
  <si>
    <t>Integración / Jest</t>
  </si>
  <si>
    <t>CP-001, CP-002, CP-003, CP-010, CP-013</t>
  </si>
  <si>
    <t>Unitaria / Jest</t>
  </si>
  <si>
    <t>CP-007, CP-011</t>
  </si>
  <si>
    <t>CP-004, CP-005, CP-006, CP-009</t>
  </si>
  <si>
    <t>CP-018, CP-019</t>
  </si>
  <si>
    <t>Sistema / Cypress</t>
  </si>
  <si>
    <t>CP-014, CP-015, CP-017</t>
  </si>
  <si>
    <t>Rendimiento / k6</t>
  </si>
  <si>
    <t>Seguridad / OWASP ZAP</t>
  </si>
  <si>
    <t>Ejemplo intencional: RF-04 y RNF-03 están SIN COBERTURA para mostrar cómo se detecta un requisito sin probar. En tu entrega no puede quedar ninguno (RF) sin caso.</t>
  </si>
  <si>
    <t>Resumen de cobertura (se calcula solo)</t>
  </si>
  <si>
    <t>No escribas aquí. Sirve para revisar tu entrega antes de enviarla.</t>
  </si>
  <si>
    <t>Indicador</t>
  </si>
  <si>
    <t>Total de requisitos</t>
  </si>
  <si>
    <t>Requisitos con al menos un caso</t>
  </si>
  <si>
    <t>% de requisitos cubiertos</t>
  </si>
  <si>
    <t>Requisitos sin cobertura</t>
  </si>
  <si>
    <t>Casos de prueba totales</t>
  </si>
  <si>
    <t>Casos de verificación numérica</t>
  </si>
  <si>
    <t>Casos "huérfanos" (requisito inexistente)</t>
  </si>
  <si>
    <t>¿Mínimo 20 casos?</t>
  </si>
  <si>
    <t>¿Mínimo 8 casos de verificación numérica?</t>
  </si>
  <si>
    <t>¿100 % de requisitos con caso de prueba?</t>
  </si>
  <si>
    <t>Requisitos</t>
  </si>
  <si>
    <t>Con caso</t>
  </si>
  <si>
    <t>% cubierto</t>
  </si>
  <si>
    <t>Veredicto de los casos</t>
  </si>
  <si>
    <t>Cantidad</t>
  </si>
  <si>
    <t>APROBADO</t>
  </si>
  <si>
    <t>FALLIDO</t>
  </si>
  <si>
    <t>BLOQUEADO</t>
  </si>
  <si>
    <t>Matriz de riesgos (sección 7 del plan maestro)</t>
  </si>
  <si>
    <t>Exposición = probabilidad × impacto (escala 1 a 5). Nivel: Alto ≥ 15 · Medio 8–14 · Bajo &lt; 8. Las pruebas se priorizan por el nivel de riesgo.</t>
  </si>
  <si>
    <t>ID</t>
  </si>
  <si>
    <t>Riesgo</t>
  </si>
  <si>
    <t>Probabilidad (1-5)</t>
  </si>
  <si>
    <t>Impacto (1-5)</t>
  </si>
  <si>
    <t>Exposición</t>
  </si>
  <si>
    <t>Estrategia de prueba / mitigación</t>
  </si>
  <si>
    <t>Casos relacionados</t>
  </si>
  <si>
    <t>Estado</t>
  </si>
  <si>
    <t>R-01</t>
  </si>
  <si>
    <t>MAPE mal calculado cuando la demanda real es 0</t>
  </si>
  <si>
    <t>Producto</t>
  </si>
  <si>
    <t>Casos límite y verificación numérica del MAPE</t>
  </si>
  <si>
    <t>CP-006, CP-009</t>
  </si>
  <si>
    <t>Abierto</t>
  </si>
  <si>
    <t>R-02</t>
  </si>
  <si>
    <t>Pronósticos distintos al cálculo de referencia de Producción</t>
  </si>
  <si>
    <t>Verificación numérica contra el Excel de Producción con tolerancia firmada</t>
  </si>
  <si>
    <t>CP-001 a CP-008</t>
  </si>
  <si>
    <t>R-03</t>
  </si>
  <si>
    <t>Carga de archivos CSV con formato inválido o corrupto</t>
  </si>
  <si>
    <t>Partición de equivalencia sobre archivos válidos e inválidos</t>
  </si>
  <si>
    <t>CP-020, CP-021, CP-022</t>
  </si>
  <si>
    <t>R-04</t>
  </si>
  <si>
    <t>Acceso indebido a funciones por rol</t>
  </si>
  <si>
    <t>Tabla de decisión rol × acción; pruebas de seguridad</t>
  </si>
  <si>
    <t>CP-014 a CP-017</t>
  </si>
  <si>
    <t>R-05</t>
  </si>
  <si>
    <t>Lentitud al calcular muchas series</t>
  </si>
  <si>
    <t>Prueba de carga con 500 series (k6) y medición de tiempos</t>
  </si>
  <si>
    <t>R-06</t>
  </si>
  <si>
    <t>Alertas que no se disparan en el umbral</t>
  </si>
  <si>
    <t>Valores límite alrededor del umbral</t>
  </si>
  <si>
    <t>R-07</t>
  </si>
  <si>
    <t>Reportes exportados que no coinciden con la pantalla</t>
  </si>
  <si>
    <t>Comparar valores exportados con los de pantalla</t>
  </si>
  <si>
    <t>R-08</t>
  </si>
  <si>
    <t>Producción no entrega el Excel de referencia a tiempo</t>
  </si>
  <si>
    <t>Proyecto</t>
  </si>
  <si>
    <t>Solicitarlo desde el corte 1 y acordar fecha; usar la hoja Calculo_Referencia como respaldo</t>
  </si>
  <si>
    <t>—</t>
  </si>
  <si>
    <t>R-09</t>
  </si>
  <si>
    <t>Cambios de requisitos sin avisar al equipo de pruebas</t>
  </si>
  <si>
    <t>Revisión de la matriz de trazabilidad en cada sprint</t>
  </si>
  <si>
    <t>R-10</t>
  </si>
  <si>
    <t>Exposición de datos de empresas en pruebas y reportes</t>
  </si>
  <si>
    <t>Anonimizar datos y capturas (Ley 1581 de 2012)</t>
  </si>
  <si>
    <t>Tipo de riesgo</t>
  </si>
  <si>
    <t>Escala 1-5</t>
  </si>
  <si>
    <t>Baja</t>
  </si>
  <si>
    <t>Aceptación</t>
  </si>
  <si>
    <t>Transición de estados</t>
  </si>
  <si>
    <t>Caja blanca</t>
  </si>
  <si>
    <t>Usabilidad</t>
  </si>
  <si>
    <t>Exploratoria</t>
  </si>
  <si>
    <t>Hoja de apoyo: alimenta las listas desplegables. No la modifiques.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</si>
</sst>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10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1"/>
      <color rgb="FF1F3864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8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2" fontId="6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2" fontId="6" fillId="3" borderId="1" xfId="0" applyNumberFormat="1" applyFont="1" applyFill="1" applyBorder="1" applyAlignment="1">
      <alignment horizontal="center" vertical="top" wrapText="1"/>
    </xf>
    <xf numFmtId="164" fontId="7" fillId="0" borderId="1" xfId="0" applyNumberFormat="1" applyFont="1" applyBorder="1" applyAlignment="1">
      <alignment horizontal="center" vertical="top" wrapText="1"/>
    </xf>
    <xf numFmtId="10" fontId="7" fillId="0" borderId="1" xfId="0" applyNumberFormat="1" applyFont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164" fontId="8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164" fontId="9" fillId="0" borderId="1" xfId="0" applyNumberFormat="1" applyFont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top" wrapText="1"/>
    </xf>
    <xf numFmtId="165" fontId="8" fillId="0" borderId="1" xfId="0" applyNumberFormat="1" applyFont="1" applyBorder="1" applyAlignment="1">
      <alignment horizontal="center" vertical="top" wrapText="1"/>
    </xf>
    <xf numFmtId="49" fontId="8" fillId="0" borderId="1" xfId="0" applyNumberFormat="1" applyFont="1" applyBorder="1" applyAlignment="1">
      <alignment horizontal="center" vertical="top" wrapText="1"/>
    </xf>
    <xf numFmtId="9" fontId="7" fillId="0" borderId="1" xfId="0" applyNumberFormat="1" applyFont="1" applyBorder="1" applyAlignment="1">
      <alignment horizontal="center" vertical="top" wrapText="1"/>
    </xf>
    <xf numFmtId="0" fontId="5" fillId="2" borderId="0" xfId="0" applyFont="1" applyFill="1"/>
    <xf numFmtId="0" fontId="7" fillId="0" borderId="0" xfId="0" applyFont="1"/>
  </cellXfs>
  <cellStyles count="1">
    <cellStyle name="Normal" xfId="0" builtinId="0"/>
  </cellStyles>
  <dxfs count="16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78787"/>
      <rgbColor rgb="FF9999FF"/>
      <rgbColor rgb="FFC0504D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Requisitos y casos por módulo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Cobertura!$B$17</c:f>
              <c:strCache>
                <c:ptCount val="1"/>
                <c:pt idx="0">
                  <c:v>Requisitos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Cobertura!$A$18:$A$22</c:f>
              <c:strCache>
                <c:ptCount val="5"/>
                <c:pt idx="0">
                  <c:v>Autenticación y roles</c:v>
                </c:pt>
                <c:pt idx="1">
                  <c:v>Históricos</c:v>
                </c:pt>
                <c:pt idx="2">
                  <c:v>Pronóstico</c:v>
                </c:pt>
                <c:pt idx="3">
                  <c:v>Indicadores</c:v>
                </c:pt>
                <c:pt idx="4">
                  <c:v>Transversal</c:v>
                </c:pt>
              </c:strCache>
            </c:strRef>
          </c:cat>
          <c:val>
            <c:numRef>
              <c:f>Cobertura!$B$18:$B$22</c:f>
              <c:numCache>
                <c:formatCode>General</c:formatCode>
                <c:ptCount val="5"/>
                <c:pt idx="0">
                  <c:v>6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F-214F-B04F-13B01DB4D163}"/>
            </c:ext>
          </c:extLst>
        </c:ser>
        <c:ser>
          <c:idx val="1"/>
          <c:order val="1"/>
          <c:tx>
            <c:strRef>
              <c:f>Cobertura!$C$17</c:f>
              <c:strCache>
                <c:ptCount val="1"/>
                <c:pt idx="0">
                  <c:v>Con caso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Cobertura!$A$18:$A$22</c:f>
              <c:strCache>
                <c:ptCount val="5"/>
                <c:pt idx="0">
                  <c:v>Autenticación y roles</c:v>
                </c:pt>
                <c:pt idx="1">
                  <c:v>Históricos</c:v>
                </c:pt>
                <c:pt idx="2">
                  <c:v>Pronóstico</c:v>
                </c:pt>
                <c:pt idx="3">
                  <c:v>Indicadores</c:v>
                </c:pt>
                <c:pt idx="4">
                  <c:v>Transversal</c:v>
                </c:pt>
              </c:strCache>
            </c:strRef>
          </c:cat>
          <c:val>
            <c:numRef>
              <c:f>Cobertura!$C$18:$C$22</c:f>
              <c:numCache>
                <c:formatCode>General</c:formatCode>
                <c:ptCount val="5"/>
                <c:pt idx="0">
                  <c:v>6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0F-214F-B04F-13B01DB4D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14427"/>
        <c:axId val="22249896"/>
      </c:barChart>
      <c:catAx>
        <c:axId val="780144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22249896"/>
        <c:crosses val="autoZero"/>
        <c:auto val="1"/>
        <c:lblAlgn val="ctr"/>
        <c:lblOffset val="100"/>
        <c:noMultiLvlLbl val="0"/>
      </c:catAx>
      <c:valAx>
        <c:axId val="222498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Cantidad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780144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160920</xdr:rowOff>
    </xdr:from>
    <xdr:to>
      <xdr:col>14</xdr:col>
      <xdr:colOff>256320</xdr:colOff>
      <xdr:row>16</xdr:row>
      <xdr:rowOff>51480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37"/>
  <sheetViews>
    <sheetView zoomScaleNormal="100" workbookViewId="0"/>
  </sheetViews>
  <sheetFormatPr baseColWidth="10" defaultColWidth="8.6640625" defaultRowHeight="15" x14ac:dyDescent="0.2"/>
  <cols>
    <col min="1" max="1" width="4" customWidth="1"/>
    <col min="2" max="2" width="120" customWidth="1"/>
  </cols>
  <sheetData>
    <row r="1" ht="18" x14ac:dyDescent="0.2">
      <c r="B1" s="1" t="inlineStr">
        <is>
          <t xml:space="preserve">E1 · Catálogo de casos de prueba y matriz de trazabilidad · Sierra Alta</t>
        </is>
      </c>
    </row>
    <row r="2" x14ac:dyDescent="0.2">
      <c r="B2" s="2" t="inlineStr">
        <is>
          <t xml:space="preserve">Pruebas de Software · Proyecto Nuclear · Sistema web de pronóstico de producción (Sierra Alta S.A.S. BIC, marca Eleven Pro) · Corte 1 (23/10/2026)</t>
        </is>
      </c>
    </row>
    <row r="4" x14ac:dyDescent="0.2">
      <c r="B4" s="3" t="inlineStr">
        <is>
          <t xml:space="preserve">QUÉ ES ESTE ARCHIVO</t>
        </is>
      </c>
    </row>
    <row r="5" ht="28" x14ac:dyDescent="0.2">
      <c r="B5" s="4" t="inlineStr">
        <is>
          <t xml:space="preserve">Anexo A del plan maestro (catálogo de casos) y entregable E1.2 (matriz de trazabilidad) del sistema web de pronóstico de producción. Los requisitos salen del documento de arquitectura (18/10/2026) y del contrato de la API; los resultados son los de la ejecución del 22/10/2026 contra el backend.</t>
        </is>
      </c>
    </row>
    <row r="6" x14ac:dyDescent="0.2">
      <c r="B6" s="4"/>
    </row>
    <row r="7" x14ac:dyDescent="0.2">
      <c r="B7" s="3" t="inlineStr">
        <is>
          <t xml:space="preserve">HOJAS</t>
        </is>
      </c>
    </row>
    <row r="8" x14ac:dyDescent="0.2">
      <c r="B8" s="4" t="inlineStr">
        <is>
          <t xml:space="preserve">Requisitos → 11 funcionales y 5 no funcionales, agrupados en los módulos del monolito: autenticación, históricos, pronóstico, indicadores y transversal.</t>
        </is>
      </c>
    </row>
    <row r="9" x14ac:dyDescent="0.2">
      <c r="B9" s="4" t="inlineStr">
        <is>
          <t xml:space="preserve">Catalogo → 34 casos de prueba con datos, pasos, resultado esperado y resultado obtenido en la ejecución.</t>
        </is>
      </c>
    </row>
    <row r="10" x14ac:dyDescent="0.2">
      <c r="B10" s="4" t="inlineStr">
        <is>
          <t xml:space="preserve">Verificacion → compara el valor del sistema con el cálculo de referencia y decide APROBADO / FALLIDO con la tolerancia 0,01.</t>
        </is>
      </c>
    </row>
    <row r="11" ht="28" x14ac:dyDescent="0.2">
      <c r="B11" s="4" t="inlineStr">
        <is>
          <t xml:space="preserve">Calculo_Referencia → cálculo independiente del promedio móvil de 2 periodos, MAD y MAPE sobre las series A y B.</t>
        </is>
      </c>
    </row>
    <row r="12" x14ac:dyDescent="0.2">
      <c r="B12" s="4" t="inlineStr">
        <is>
          <t xml:space="preserve">Matriz → qué casos verifican cada requisito y en qué estado está cada uno.</t>
        </is>
      </c>
    </row>
    <row r="13" x14ac:dyDescent="0.2">
      <c r="B13" s="4" t="inlineStr">
        <is>
          <t xml:space="preserve">Cobertura → % de requisitos cubiertos, mínimo de casos y veredictos. Se calcula sola.</t>
        </is>
      </c>
    </row>
    <row r="14" x14ac:dyDescent="0.2">
      <c r="B14" s="4" t="inlineStr">
        <is>
          <t xml:space="preserve">Riesgos → exposición = probabilidad × impacto, con los casos que responden a cada riesgo.</t>
        </is>
      </c>
    </row>
    <row r="15" x14ac:dyDescent="0.2">
      <c r="B15" s="4" t="inlineStr">
        <is>
          <t xml:space="preserve">Listas → alimenta las listas desplegables.</t>
        </is>
      </c>
    </row>
    <row r="16" x14ac:dyDescent="0.2">
      <c r="B16" s="4"/>
    </row>
    <row r="17" x14ac:dyDescent="0.2">
      <c r="B17" s="3" t="inlineStr">
        <is>
          <t xml:space="preserve">CÓDIGO DE COLORES</t>
        </is>
      </c>
    </row>
    <row r="18" ht="28" x14ac:dyDescent="0.2">
      <c r="B18" s="4" t="inlineStr">
        <is>
          <t xml:space="preserve">Texto AZUL = datos que se escriben · Texto NEGRO = fórmulas (no borrarlas) · Texto VERDE = vínculo a otra hoja · Celda AMARILLA = dato clave (valor del sistema, ventana, tolerancia).</t>
        </is>
      </c>
    </row>
    <row r="19" x14ac:dyDescent="0.2">
      <c r="B19" s="4"/>
    </row>
    <row r="20" x14ac:dyDescent="0.2">
      <c r="B20" s="3" t="inlineStr">
        <is>
          <t xml:space="preserve">CÓMO SE EJECUTA</t>
        </is>
      </c>
    </row>
    <row r="21" x14ac:dyDescent="0.2">
      <c r="B21" s="4" t="inlineStr">
        <is>
          <t xml:space="preserve">1. Pruebas automáticas: .\mvnw.cmd test (88 pruebas JUnit 5 + MockMvc sobre H2; también corren en GitHub Actions).</t>
        </is>
      </c>
    </row>
    <row r="22" x14ac:dyDescent="0.2">
      <c r="B22" s="4" t="inlineStr">
        <is>
          <t xml:space="preserve">2. Backend en marcha con perfil dev: .\mvnw.cmd spring-boot:run "-Dspring-boot.run.profiles=dev".</t>
        </is>
      </c>
    </row>
    <row r="23" x14ac:dyDescent="0.2">
      <c r="B23" s="4" t="inlineStr">
        <is>
          <t xml:space="preserve">3. Pruebas de API en vivo: bash docs/pruebas/ejecutar-pruebas-api.sh (lee las claves de .env sin mostrarlas).</t>
        </is>
      </c>
    </row>
    <row r="24" x14ac:dyDescent="0.2">
      <c r="B24" s="4" t="inlineStr">
        <is>
          <t xml:space="preserve">4. Evidencias: carpeta docs/pruebas/evidencias del repositorio.</t>
        </is>
      </c>
    </row>
    <row r="25" x14ac:dyDescent="0.2">
      <c r="B25" s="4" t="inlineStr">
        <is>
          <t xml:space="preserve">5. Cuando exista el cálculo, escribir en Verificacion la columna "Valor del sistema": el veredicto de CP-001 a CP-009 se calcula solo.</t>
        </is>
      </c>
    </row>
    <row r="26" x14ac:dyDescent="0.2">
      <c r="B26" s="4" t="inlineStr">
        <is>
          <t xml:space="preserve">6. Actualizar Resultado obtenido, Veredicto, Ejecutor y Fecha en Catalogo para los casos BLOQUEADO y PENDIENTE al volver a ejecutarlos.</t>
        </is>
      </c>
    </row>
    <row r="27" x14ac:dyDescent="0.2">
      <c r="B27" s="4" t="inlineStr">
        <is>
          <t xml:space="preserve">7. Revisar Cobertura antes de entregar: ningún requisito sin caso, mínimo 20 casos y 8 de verificación numérica.</t>
        </is>
      </c>
    </row>
    <row r="28" x14ac:dyDescent="0.2">
      <c r="B28" s="4"/>
    </row>
    <row r="29" x14ac:dyDescent="0.2">
      <c r="B29" s="3" t="inlineStr">
        <is>
          <t xml:space="preserve">ESTADO DE LA EJECUCIÓN (22/10/2026)</t>
        </is>
      </c>
    </row>
    <row r="30" ht="28" x14ac:dyDescent="0.2">
      <c r="B30" s="4" t="inlineStr">
        <is>
          <t xml:space="preserve">• 15 casos APROBADOS (autenticación, roles, auditoría, CSRF, hash y errores). 8 BLOQUEADOS: el servidor responde 501 porque históricos, pronóstico e indicadores esperan las reglas de Industrial.</t>
        </is>
      </c>
    </row>
    <row r="31" ht="28" x14ac:dyDescent="0.2">
      <c r="B31" s="4" t="inlineStr">
        <is>
          <t xml:space="preserve">• CP-001 a CP-009 (verificación numérica) quedan PENDIENTES hasta que el cálculo exista; sus valores esperados ya están en Calculo_Referencia. CP-033 y CP-034 se ejecutan en el corte 3.</t>
        </is>
      </c>
    </row>
    <row r="32" x14ac:dyDescent="0.2">
      <c r="B32" s="4"/>
    </row>
    <row r="33" x14ac:dyDescent="0.2">
      <c r="B33" s="3" t="inlineStr">
        <is>
          <t xml:space="preserve">REGLAS IMPORTANTES</t>
        </is>
      </c>
    </row>
    <row r="34" x14ac:dyDescent="0.2">
      <c r="B34" s="4" t="inlineStr">
        <is>
          <t xml:space="preserve">• El valor esperado sale de un cálculo INDEPENDIENTE (Calculo_Referencia o el Excel de Industrial), nunca del código del sistema.</t>
        </is>
      </c>
    </row>
    <row r="35" ht="28" x14ac:dyDescent="0.2">
      <c r="B35" s="4" t="inlineStr">
        <is>
          <t xml:space="preserve">• Los decimales se comparan con TOLERANCIA (0,01 unidades y 0,01 puntos porcentuales), propuesta en la arquitectura y pendiente de firma de Industrial.</t>
        </is>
      </c>
    </row>
    <row r="36" ht="28" x14ac:dyDescent="0.2">
      <c r="B36" s="4" t="inlineStr">
        <is>
          <t xml:space="preserve">• La exclusión de ceros en MAPE, la ventana de 2 periodos y los permisos de cada rol son propuestas: se confirman con Industrial (Anexo B del plan).</t>
        </is>
      </c>
    </row>
    <row r="37" x14ac:dyDescent="0.2">
      <c r="B37" s="4" t="inlineStr">
        <is>
          <t xml:space="preserve">• Las series A, B y C son sintéticas. Datos reales de la empresa solo anonimizados (Ley 1581 de 2012).</t>
        </is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0"/>
  <sheetViews>
    <sheetView zoomScaleNormal="100" workbookViewId="0">
      <pane ySplit="4" topLeftCell="A5" activePane="bottomLeft" state="frozen"/>
      <selection pane="bottomLeft" activeCell="B10" sqref="B10"/>
    </sheetView>
  </sheetViews>
  <sheetFormatPr baseColWidth="10" defaultColWidth="8.6640625" defaultRowHeight="15" x14ac:dyDescent="0.2"/>
  <cols>
    <col min="1" max="1" width="14" customWidth="1"/>
    <col min="2" max="2" width="70" customWidth="1"/>
    <col min="3" max="3" width="24" customWidth="1"/>
    <col min="4" max="4" width="16" customWidth="1"/>
    <col min="5" max="5" width="12" customWidth="1"/>
  </cols>
  <sheetData>
    <row r="1" ht="18" x14ac:dyDescent="0.2">
      <c r="A1" s="1" t="inlineStr">
        <is>
          <t xml:space="preserve">Requisitos del sistema web de pronóstico de producción (Sierra Alta)</t>
        </is>
      </c>
    </row>
    <row r="2" x14ac:dyDescent="0.2">
      <c r="A2" s="2" t="inlineStr">
        <is>
          <t xml:space="preserve">Requisitos tomados del documento de arquitectura (18/10/2026) y del contrato de la API (docs/architecture/api.md). Las reglas marcadas como propuesta se validan con Industrial. La Matriz y la Cobertura se alimentan de esta hoja.</t>
        </is>
      </c>
    </row>
    <row r="4" ht="31.5" customHeight="1" x14ac:dyDescent="0.2">
      <c r="A4" s="5" t="s">
        <v>33</v>
      </c>
      <c r="B4" s="5" t="s">
        <v>34</v>
      </c>
      <c r="C4" s="5" t="s">
        <v>35</v>
      </c>
      <c r="D4" s="5" t="s">
        <v>36</v>
      </c>
      <c r="E4" s="5" t="s">
        <v>37</v>
      </c>
    </row>
    <row r="5" x14ac:dyDescent="0.2" ht="30" customHeight="1">
      <c r="A5" s="6" t="inlineStr">
        <is>
          <t xml:space="preserve">RF-01</t>
        </is>
      </c>
      <c r="B5" s="6" t="inlineStr">
        <is>
          <t xml:space="preserve">Iniciar y cerrar sesión con usuario y contraseña; cuentas administradas, sin autorregistro. Clave errónea, usuario inexistente y cuenta inactiva reciben el mismo mensaje</t>
        </is>
      </c>
      <c r="C5" s="6" t="inlineStr">
        <is>
          <t xml:space="preserve">Autenticación y roles</t>
        </is>
      </c>
      <c r="D5" s="6" t="inlineStr">
        <is>
          <t xml:space="preserve">Funcional</t>
        </is>
      </c>
      <c r="E5" s="6" t="inlineStr">
        <is>
          <t xml:space="preserve">Alta</t>
        </is>
      </c>
    </row>
    <row r="6" x14ac:dyDescent="0.2" ht="30" customHeight="1">
      <c r="A6" s="6" t="inlineStr">
        <is>
          <t xml:space="preserve">RF-02</t>
        </is>
      </c>
      <c r="B6" s="6" t="inlineStr">
        <is>
          <t xml:space="preserve">Administrar cuentas (solo el administrador): crear, desactivar o reactivar y asignar el rol; el administrador no puede desactivarse ni quitarse el rol a sí mismo</t>
        </is>
      </c>
      <c r="C6" s="6" t="inlineStr">
        <is>
          <t xml:space="preserve">Autenticación y roles</t>
        </is>
      </c>
      <c r="D6" s="6" t="inlineStr">
        <is>
          <t xml:space="preserve">Funcional</t>
        </is>
      </c>
      <c r="E6" s="6" t="inlineStr">
        <is>
          <t xml:space="preserve">Alta</t>
        </is>
      </c>
    </row>
    <row r="7" x14ac:dyDescent="0.2" ht="30" customHeight="1">
      <c r="A7" s="6" t="inlineStr">
        <is>
          <t xml:space="preserve">RF-03</t>
        </is>
      </c>
      <c r="B7" s="6" t="inlineStr">
        <is>
          <t xml:space="preserve">Autorizar cada operación en el servidor según el alcance de cada rol (administrador, planeador de producción, supervisor de línea, analista de datos), con denegación por defecto</t>
        </is>
      </c>
      <c r="C7" s="6" t="inlineStr">
        <is>
          <t xml:space="preserve">Autenticación y roles</t>
        </is>
      </c>
      <c r="D7" s="6" t="inlineStr">
        <is>
          <t xml:space="preserve">Funcional</t>
        </is>
      </c>
      <c r="E7" s="6" t="inlineStr">
        <is>
          <t xml:space="preserve">Alta</t>
        </is>
      </c>
    </row>
    <row r="8" x14ac:dyDescent="0.2" ht="30" customHeight="1">
      <c r="A8" s="6" t="inlineStr">
        <is>
          <t xml:space="preserve">RF-04</t>
        </is>
      </c>
      <c r="B8" s="6" t="inlineStr">
        <is>
          <t xml:space="preserve">Registrar eventos de seguridad (inicio y cierre de sesión, accesos denegados, CSRF rechazado, cambios de cuentas) sin contraseñas ni tokens</t>
        </is>
      </c>
      <c r="C8" s="6" t="inlineStr">
        <is>
          <t xml:space="preserve">Autenticación y roles</t>
        </is>
      </c>
      <c r="D8" s="6" t="inlineStr">
        <is>
          <t xml:space="preserve">Funcional</t>
        </is>
      </c>
      <c r="E8" s="6" t="inlineStr">
        <is>
          <t xml:space="preserve">Media</t>
        </is>
      </c>
    </row>
    <row r="9" x14ac:dyDescent="0.2" ht="30" customHeight="1">
      <c r="A9" s="6" t="inlineStr">
        <is>
          <t xml:space="preserve">RF-05</t>
        </is>
      </c>
      <c r="B9" s="6" t="inlineStr">
        <is>
          <t xml:space="preserve">Consultar los productos y la serie mensual de cada uno, ordenada por periodo</t>
        </is>
      </c>
      <c r="C9" s="6" t="inlineStr">
        <is>
          <t xml:space="preserve">Históricos</t>
        </is>
      </c>
      <c r="D9" s="6" t="inlineStr">
        <is>
          <t xml:space="preserve">Funcional</t>
        </is>
      </c>
      <c r="E9" s="6" t="inlineStr">
        <is>
          <t xml:space="preserve">Alta</t>
        </is>
      </c>
    </row>
    <row r="10" x14ac:dyDescent="0.2" ht="30" customHeight="1">
      <c r="A10" s="6" t="inlineStr">
        <is>
          <t xml:space="preserve">RF-06</t>
        </is>
      </c>
      <c r="B10" s="6" t="inlineStr">
        <is>
          <t xml:space="preserve">Cargar observaciones mensuales validando el lote: valor no negativo, una por serie y periodo, periodo normalizado al primer día del mes y sin convertir datos ausentes en cero</t>
        </is>
      </c>
      <c r="C10" s="6" t="inlineStr">
        <is>
          <t xml:space="preserve">Históricos</t>
        </is>
      </c>
      <c r="D10" s="6" t="inlineStr">
        <is>
          <t xml:space="preserve">Funcional</t>
        </is>
      </c>
      <c r="E10" s="6" t="inlineStr">
        <is>
          <t xml:space="preserve">Alta</t>
        </is>
      </c>
    </row>
    <row r="11" x14ac:dyDescent="0.2" ht="30" customHeight="1">
      <c r="A11" s="6" t="inlineStr">
        <is>
          <t xml:space="preserve">RF-07</t>
        </is>
      </c>
      <c r="B11" s="6" t="inlineStr">
        <is>
          <t xml:space="preserve">Calcular el pronóstico por promedio móvil simple de 2 periodos usando solo periodos anteriores; exige al menos 2 observaciones consecutivas</t>
        </is>
      </c>
      <c r="C11" s="6" t="inlineStr">
        <is>
          <t xml:space="preserve">Pronóstico</t>
        </is>
      </c>
      <c r="D11" s="6" t="inlineStr">
        <is>
          <t xml:space="preserve">Funcional</t>
        </is>
      </c>
      <c r="E11" s="6" t="inlineStr">
        <is>
          <t xml:space="preserve">Alta</t>
        </is>
      </c>
    </row>
    <row r="12" x14ac:dyDescent="0.2" ht="30" customHeight="1">
      <c r="A12" s="6" t="inlineStr">
        <is>
          <t xml:space="preserve">RF-08</t>
        </is>
      </c>
      <c r="B12" s="6" t="inlineStr">
        <is>
          <t xml:space="preserve">Conservar en cada ejecución las entradas usadas, los parámetros, el autor y la fecha, guardados de forma atómica, para explicar el resultado aunque el histórico se corrija</t>
        </is>
      </c>
      <c r="C12" s="6" t="inlineStr">
        <is>
          <t xml:space="preserve">Pronóstico</t>
        </is>
      </c>
      <c r="D12" s="6" t="inlineStr">
        <is>
          <t xml:space="preserve">Funcional</t>
        </is>
      </c>
      <c r="E12" s="6" t="inlineStr">
        <is>
          <t xml:space="preserve">Alta</t>
        </is>
      </c>
    </row>
    <row r="13" x14ac:dyDescent="0.2" ht="30" customHeight="1">
      <c r="A13" s="6" t="inlineStr">
        <is>
          <t xml:space="preserve">RF-09</t>
        </is>
      </c>
      <c r="B13" s="6" t="inlineStr">
        <is>
          <t xml:space="preserve">Consultar las ejecuciones de pronóstico y el detalle de cada una</t>
        </is>
      </c>
      <c r="C13" s="6" t="inlineStr">
        <is>
          <t xml:space="preserve">Pronóstico</t>
        </is>
      </c>
      <c r="D13" s="6" t="inlineStr">
        <is>
          <t xml:space="preserve">Funcional</t>
        </is>
      </c>
      <c r="E13" s="6" t="inlineStr">
        <is>
          <t xml:space="preserve">Media</t>
        </is>
      </c>
    </row>
    <row r="14" x14ac:dyDescent="0.2" ht="30" customHeight="1">
      <c r="A14" s="6" t="inlineStr">
        <is>
          <t xml:space="preserve">RF-10</t>
        </is>
      </c>
      <c r="B14" s="6" t="inlineStr">
        <is>
          <t xml:space="preserve">Calcular MAD (promedio de los errores absolutos) sobre los pares real–pronosticado</t>
        </is>
      </c>
      <c r="C14" s="6" t="inlineStr">
        <is>
          <t xml:space="preserve">Indicadores</t>
        </is>
      </c>
      <c r="D14" s="6" t="inlineStr">
        <is>
          <t xml:space="preserve">Funcional</t>
        </is>
      </c>
      <c r="E14" s="6" t="inlineStr">
        <is>
          <t xml:space="preserve">Alta</t>
        </is>
      </c>
    </row>
    <row r="15" x14ac:dyDescent="0.2" ht="30" customHeight="1">
      <c r="A15" s="6" t="inlineStr">
        <is>
          <t xml:space="preserve">RF-11</t>
        </is>
      </c>
      <c r="B15" s="6" t="inlineStr">
        <is>
          <t xml:space="preserve">Calcular MAPE sobre los pares con valor real distinto de cero, informar los pares excluidos y reportar "no calculable" si no queda ninguno</t>
        </is>
      </c>
      <c r="C15" s="6" t="inlineStr">
        <is>
          <t xml:space="preserve">Indicadores</t>
        </is>
      </c>
      <c r="D15" s="6" t="inlineStr">
        <is>
          <t xml:space="preserve">Funcional</t>
        </is>
      </c>
      <c r="E15" s="6" t="inlineStr">
        <is>
          <t xml:space="preserve">Alta</t>
        </is>
      </c>
    </row>
    <row r="16" x14ac:dyDescent="0.2" ht="30" customHeight="1">
      <c r="A16" s="6" t="inlineStr">
        <is>
          <t xml:space="preserve">RNF-01</t>
        </is>
      </c>
      <c r="B16" s="6" t="inlineStr">
        <is>
          <t xml:space="preserve">Seguridad: ninguna API protegida responde sin sesión válida; toda solicitud que modifica datos exige token CSRF; cookie de sesión HttpOnly</t>
        </is>
      </c>
      <c r="C16" s="6" t="inlineStr">
        <is>
          <t xml:space="preserve">Autenticación y roles</t>
        </is>
      </c>
      <c r="D16" s="6" t="inlineStr">
        <is>
          <t xml:space="preserve">No funcional</t>
        </is>
      </c>
      <c r="E16" s="6" t="inlineStr">
        <is>
          <t xml:space="preserve">Alta</t>
        </is>
      </c>
    </row>
    <row r="17" x14ac:dyDescent="0.2" ht="30" customHeight="1">
      <c r="A17" s="6" t="inlineStr">
        <is>
          <t xml:space="preserve">RNF-02</t>
        </is>
      </c>
      <c r="B17" s="6" t="inlineStr">
        <is>
          <t xml:space="preserve">Seguridad: contraseñas almacenadas con hash adaptativo (bcrypt), nunca en texto plano</t>
        </is>
      </c>
      <c r="C17" s="6" t="inlineStr">
        <is>
          <t xml:space="preserve">Autenticación y roles</t>
        </is>
      </c>
      <c r="D17" s="6" t="inlineStr">
        <is>
          <t xml:space="preserve">No funcional</t>
        </is>
      </c>
      <c r="E17" s="6" t="inlineStr">
        <is>
          <t xml:space="preserve">Alta</t>
        </is>
      </c>
    </row>
    <row r="18" x14ac:dyDescent="0.2" ht="30" customHeight="1">
      <c r="A18" s="6" t="inlineStr">
        <is>
          <t xml:space="preserve">RNF-03</t>
        </is>
      </c>
      <c r="B18" s="6" t="inlineStr">
        <is>
          <t xml:space="preserve">Rendimiento (meta propuesta): percentil 95 de respuesta ≤ 2 s con hasta 1.000 observaciones y 5 sesiones simultáneas durante 5 minutos</t>
        </is>
      </c>
      <c r="C18" s="6" t="inlineStr">
        <is>
          <t xml:space="preserve">Transversal</t>
        </is>
      </c>
      <c r="D18" s="6" t="inlineStr">
        <is>
          <t xml:space="preserve">No funcional</t>
        </is>
      </c>
      <c r="E18" s="6" t="inlineStr">
        <is>
          <t xml:space="preserve">Media</t>
        </is>
      </c>
    </row>
    <row r="19" x14ac:dyDescent="0.2" ht="30" customHeight="1">
      <c r="A19" s="6" t="inlineStr">
        <is>
          <t xml:space="preserve">RNF-04</t>
        </is>
      </c>
      <c r="B19" s="6" t="inlineStr">
        <is>
          <t xml:space="preserve">Errores en formato problem+json (RFC 9457) con código estable y mensaje en español, sin exponer detalles internos</t>
        </is>
      </c>
      <c r="C19" s="6" t="inlineStr">
        <is>
          <t xml:space="preserve">Transversal</t>
        </is>
      </c>
      <c r="D19" s="6" t="inlineStr">
        <is>
          <t xml:space="preserve">No funcional</t>
        </is>
      </c>
      <c r="E19" s="6" t="inlineStr">
        <is>
          <t xml:space="preserve">Media</t>
        </is>
      </c>
    </row>
    <row r="20" x14ac:dyDescent="0.2" ht="30" customHeight="1">
      <c r="A20" s="6" t="inlineStr">
        <is>
          <t xml:space="preserve">RNF-05</t>
        </is>
      </c>
      <c r="B20" s="6" t="inlineStr">
        <is>
          <t xml:space="preserve">Usabilidad: el usuario identifica producto, periodo y unidad, distingue valores reales de estimados y ve cada error junto a su campo</t>
        </is>
      </c>
      <c r="C20" s="6" t="inlineStr">
        <is>
          <t xml:space="preserve">Transversal</t>
        </is>
      </c>
      <c r="D20" s="6" t="inlineStr">
        <is>
          <t xml:space="preserve">No funcional</t>
        </is>
      </c>
      <c r="E20" s="6" t="inlineStr">
        <is>
          <t xml:space="preserve">Media</t>
        </is>
      </c>
    </row>
    <row r="21" x14ac:dyDescent="0.2">
      <c r="A21" s="6"/>
      <c r="B21" s="6"/>
      <c r="C21" s="6"/>
      <c r="D21" s="6"/>
      <c r="E21" s="6"/>
    </row>
    <row r="22" x14ac:dyDescent="0.2">
      <c r="A22" s="6"/>
      <c r="B22" s="6"/>
      <c r="C22" s="6"/>
      <c r="D22" s="6"/>
      <c r="E22" s="6"/>
    </row>
    <row r="23" x14ac:dyDescent="0.2">
      <c r="A23" s="6"/>
      <c r="B23" s="6"/>
      <c r="C23" s="6"/>
      <c r="D23" s="6"/>
      <c r="E23" s="6"/>
    </row>
    <row r="24" x14ac:dyDescent="0.2">
      <c r="A24" s="6"/>
      <c r="B24" s="6"/>
      <c r="C24" s="6"/>
      <c r="D24" s="6"/>
      <c r="E24" s="6"/>
    </row>
    <row r="25" x14ac:dyDescent="0.2">
      <c r="A25" s="6"/>
      <c r="B25" s="6"/>
      <c r="C25" s="6"/>
      <c r="D25" s="6"/>
      <c r="E25" s="6"/>
    </row>
    <row r="26" x14ac:dyDescent="0.2">
      <c r="A26" s="6"/>
      <c r="B26" s="6"/>
      <c r="C26" s="6"/>
      <c r="D26" s="6"/>
      <c r="E26" s="6"/>
    </row>
    <row r="27" x14ac:dyDescent="0.2">
      <c r="A27" s="6"/>
      <c r="B27" s="6"/>
      <c r="C27" s="6"/>
      <c r="D27" s="6"/>
      <c r="E27" s="6"/>
    </row>
    <row r="28" x14ac:dyDescent="0.2">
      <c r="A28" s="6"/>
      <c r="B28" s="6"/>
      <c r="C28" s="6"/>
      <c r="D28" s="6"/>
      <c r="E28" s="6"/>
    </row>
    <row r="29" x14ac:dyDescent="0.2">
      <c r="A29" s="6"/>
      <c r="B29" s="6"/>
      <c r="C29" s="6"/>
      <c r="D29" s="6"/>
      <c r="E29" s="6"/>
    </row>
    <row r="30" x14ac:dyDescent="0.2">
      <c r="A30" s="6"/>
      <c r="B30" s="6"/>
      <c r="C30" s="6"/>
      <c r="D30" s="6"/>
      <c r="E30" s="6"/>
    </row>
    <row r="31" x14ac:dyDescent="0.2">
      <c r="A31" s="6"/>
      <c r="B31" s="6"/>
      <c r="C31" s="6"/>
      <c r="D31" s="6"/>
      <c r="E31" s="6"/>
    </row>
    <row r="32" x14ac:dyDescent="0.2">
      <c r="A32" s="6"/>
      <c r="B32" s="6"/>
      <c r="C32" s="6"/>
      <c r="D32" s="6"/>
      <c r="E32" s="6"/>
    </row>
    <row r="33" x14ac:dyDescent="0.2">
      <c r="A33" s="6"/>
      <c r="B33" s="6"/>
      <c r="C33" s="6"/>
      <c r="D33" s="6"/>
      <c r="E33" s="6"/>
    </row>
    <row r="34" x14ac:dyDescent="0.2">
      <c r="A34" s="6"/>
      <c r="B34" s="6"/>
      <c r="C34" s="6"/>
      <c r="D34" s="6"/>
      <c r="E34" s="6"/>
    </row>
    <row r="35" x14ac:dyDescent="0.2">
      <c r="A35" s="6"/>
      <c r="B35" s="6"/>
      <c r="C35" s="6"/>
      <c r="D35" s="6"/>
      <c r="E35" s="6"/>
    </row>
    <row r="36" x14ac:dyDescent="0.2">
      <c r="A36" s="6"/>
      <c r="B36" s="6"/>
      <c r="C36" s="6"/>
      <c r="D36" s="6"/>
      <c r="E36" s="6"/>
    </row>
    <row r="37" x14ac:dyDescent="0.2">
      <c r="A37" s="6"/>
      <c r="B37" s="6"/>
      <c r="C37" s="6"/>
      <c r="D37" s="6"/>
      <c r="E37" s="6"/>
    </row>
    <row r="38" x14ac:dyDescent="0.2">
      <c r="A38" s="6"/>
      <c r="B38" s="6"/>
      <c r="C38" s="6"/>
      <c r="D38" s="6"/>
      <c r="E38" s="6"/>
    </row>
    <row r="39" x14ac:dyDescent="0.2">
      <c r="A39" s="6"/>
      <c r="B39" s="6"/>
      <c r="C39" s="6"/>
      <c r="D39" s="6"/>
      <c r="E39" s="6"/>
    </row>
    <row r="40" x14ac:dyDescent="0.2">
      <c r="A40" s="6"/>
      <c r="B40" s="6"/>
      <c r="C40" s="6"/>
      <c r="D40" s="6"/>
      <c r="E40" s="6"/>
    </row>
    <row r="41" x14ac:dyDescent="0.2">
      <c r="A41" s="6"/>
      <c r="B41" s="6"/>
      <c r="C41" s="6"/>
      <c r="D41" s="6"/>
      <c r="E41" s="6"/>
    </row>
    <row r="42" x14ac:dyDescent="0.2">
      <c r="A42" s="6"/>
      <c r="B42" s="6"/>
      <c r="C42" s="6"/>
      <c r="D42" s="6"/>
      <c r="E42" s="6"/>
    </row>
    <row r="43" x14ac:dyDescent="0.2">
      <c r="A43" s="6"/>
      <c r="B43" s="6"/>
      <c r="C43" s="6"/>
      <c r="D43" s="6"/>
      <c r="E43" s="6"/>
    </row>
    <row r="44" x14ac:dyDescent="0.2">
      <c r="A44" s="6"/>
      <c r="B44" s="6"/>
      <c r="C44" s="6"/>
      <c r="D44" s="6"/>
      <c r="E44" s="6"/>
    </row>
    <row r="45" x14ac:dyDescent="0.2">
      <c r="A45" s="6"/>
      <c r="B45" s="6"/>
      <c r="C45" s="6"/>
      <c r="D45" s="6"/>
      <c r="E45" s="6"/>
    </row>
    <row r="46" x14ac:dyDescent="0.2">
      <c r="A46" s="6"/>
      <c r="B46" s="6"/>
      <c r="C46" s="6"/>
      <c r="D46" s="6"/>
      <c r="E46" s="6"/>
    </row>
    <row r="47" x14ac:dyDescent="0.2">
      <c r="A47" s="6"/>
      <c r="B47" s="6"/>
      <c r="C47" s="6"/>
      <c r="D47" s="6"/>
      <c r="E47" s="6"/>
    </row>
    <row r="48" x14ac:dyDescent="0.2">
      <c r="A48" s="6"/>
      <c r="B48" s="6"/>
      <c r="C48" s="6"/>
      <c r="D48" s="6"/>
      <c r="E48" s="6"/>
    </row>
    <row r="49" x14ac:dyDescent="0.2">
      <c r="A49" s="6"/>
      <c r="B49" s="6"/>
      <c r="C49" s="6"/>
      <c r="D49" s="6"/>
      <c r="E49" s="6"/>
    </row>
    <row r="50" x14ac:dyDescent="0.2">
      <c r="A50" s="6"/>
      <c r="B50" s="6"/>
      <c r="C50" s="6"/>
      <c r="D50" s="6"/>
      <c r="E50" s="6"/>
    </row>
    <row r="51" x14ac:dyDescent="0.2">
      <c r="A51" s="6"/>
      <c r="B51" s="6"/>
      <c r="C51" s="6"/>
      <c r="D51" s="6"/>
      <c r="E51" s="6"/>
    </row>
    <row r="52" x14ac:dyDescent="0.2">
      <c r="A52" s="6"/>
      <c r="B52" s="6"/>
      <c r="C52" s="6"/>
      <c r="D52" s="6"/>
      <c r="E52" s="6"/>
    </row>
    <row r="53" x14ac:dyDescent="0.2">
      <c r="A53" s="6"/>
      <c r="B53" s="6"/>
      <c r="C53" s="6"/>
      <c r="D53" s="6"/>
      <c r="E53" s="6"/>
    </row>
    <row r="54" x14ac:dyDescent="0.2">
      <c r="A54" s="6"/>
      <c r="B54" s="6"/>
      <c r="C54" s="6"/>
      <c r="D54" s="6"/>
      <c r="E54" s="6"/>
    </row>
    <row r="55" x14ac:dyDescent="0.2">
      <c r="A55" s="6"/>
      <c r="B55" s="6"/>
      <c r="C55" s="6"/>
      <c r="D55" s="6"/>
      <c r="E55" s="6"/>
    </row>
    <row r="56" x14ac:dyDescent="0.2">
      <c r="A56" s="6"/>
      <c r="B56" s="6"/>
      <c r="C56" s="6"/>
      <c r="D56" s="6"/>
      <c r="E56" s="6"/>
    </row>
    <row r="57" x14ac:dyDescent="0.2">
      <c r="A57" s="6"/>
      <c r="B57" s="6"/>
      <c r="C57" s="6"/>
      <c r="D57" s="6"/>
      <c r="E57" s="6"/>
    </row>
    <row r="58" x14ac:dyDescent="0.2">
      <c r="A58" s="6"/>
      <c r="B58" s="6"/>
      <c r="C58" s="6"/>
      <c r="D58" s="6"/>
      <c r="E58" s="6"/>
    </row>
    <row r="59" x14ac:dyDescent="0.2">
      <c r="A59" s="6"/>
      <c r="B59" s="6"/>
      <c r="C59" s="6"/>
      <c r="D59" s="6"/>
      <c r="E59" s="6"/>
    </row>
    <row r="60" x14ac:dyDescent="0.2">
      <c r="A60" s="6"/>
      <c r="B60" s="6"/>
      <c r="C60" s="6"/>
      <c r="D60" s="6"/>
      <c r="E60" s="6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100-000000000000}">
          <x14:formula1>
            <xm:f>Listas!$A$2:$A$6</xm:f>
          </x14:formula1>
          <x14:formula2>
            <xm:f>0</xm:f>
          </x14:formula2>
          <xm:sqref>C5:C60</xm:sqref>
        </x14:dataValidation>
        <x14:dataValidation type="list" allowBlank="1" xr:uid="{00000000-0002-0000-0100-000001000000}">
          <x14:formula1>
            <xm:f>Listas!$B$2:$B$3</xm:f>
          </x14:formula1>
          <x14:formula2>
            <xm:f>0</xm:f>
          </x14:formula2>
          <xm:sqref>D5:D60</xm:sqref>
        </x14:dataValidation>
        <x14:dataValidation type="list" allowBlank="1" xr:uid="{00000000-0002-0000-0100-000002000000}">
          <x14:formula1>
            <xm:f>Listas!$C$2:$C$4</xm:f>
          </x14:formula1>
          <x14:formula2>
            <xm:f>0</xm:f>
          </x14:formula2>
          <xm:sqref>E5:E60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0"/>
  <sheetViews>
    <sheetView tabSelected="1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9" customWidth="1"/>
    <col min="2" max="2" width="13" customWidth="1"/>
    <col min="3" max="3" width="13" customWidth="1"/>
    <col min="4" max="4" width="10" customWidth="1"/>
    <col min="5" max="5" width="10" customWidth="1"/>
    <col min="6" max="6" width="13" customWidth="1"/>
    <col min="7" max="7" width="13" customWidth="1"/>
    <col min="8" max="8" width="3" customWidth="1"/>
    <col min="9" max="9" width="9" customWidth="1"/>
    <col min="10" max="10" width="13" customWidth="1"/>
    <col min="11" max="11" width="13" customWidth="1"/>
    <col min="12" max="12" width="10" customWidth="1"/>
    <col min="13" max="13" width="10" customWidth="1"/>
    <col min="14" max="14" width="13" customWidth="1"/>
    <col min="15" max="15" width="13" customWidth="1"/>
    <col min="16" max="16" width="3" customWidth="1"/>
    <col min="17" max="17" width="40" customWidth="1"/>
    <col min="18" max="18" width="14" customWidth="1"/>
  </cols>
  <sheetData>
    <row r="1" ht="18" x14ac:dyDescent="0.2">
      <c r="A1" s="1" t="inlineStr">
        <is>
          <t xml:space="preserve">Cálculo de referencia: promedio móvil de 2 periodos, MAD y MAPE</t>
        </is>
      </c>
    </row>
    <row r="2" x14ac:dyDescent="0.2">
      <c r="A2" s="2" t="inlineStr">
        <is>
          <t xml:space="preserve">Valor esperado independiente del sistema. Azul = datos de entrada; negro = fórmulas. Cada pronóstico usa solo los dos valores reales anteriores; MAPE excluye los pares con real = 0.</t>
        </is>
      </c>
    </row>
    <row r="4" ht="31.5" customHeight="1" x14ac:dyDescent="0.2">
      <c r="A4" s="5" t="inlineStr">
        <is>
          <t xml:space="preserve">Período t</t>
        </is>
      </c>
      <c r="B4" s="5" t="inlineStr">
        <is>
          <t xml:space="preserve">Serie A · demanda real</t>
        </is>
      </c>
      <c r="C4" s="5" t="inlineStr">
        <is>
          <t xml:space="preserve">MA(2) pronóstico</t>
        </is>
      </c>
      <c r="D4" s="5" t="inlineStr">
        <is>
          <t xml:space="preserve">Error</t>
        </is>
      </c>
      <c r="E4" s="5" t="inlineStr">
        <is>
          <t xml:space="preserve">|Error|</t>
        </is>
      </c>
      <c r="F4" s="5" t="inlineStr">
        <is>
          <t xml:space="preserve">¿Entra en MAPE? (real ≠ 0)</t>
        </is>
      </c>
      <c r="G4" s="5" t="inlineStr">
        <is>
          <t xml:space="preserve">|Error| / Real</t>
        </is>
      </c>
      <c r="H4" s="7"/>
      <c r="I4" s="5" t="inlineStr">
        <is>
          <t xml:space="preserve">Período t</t>
        </is>
      </c>
      <c r="J4" s="5" t="inlineStr">
        <is>
          <t xml:space="preserve">Serie B · demanda real</t>
        </is>
      </c>
      <c r="K4" s="5" t="inlineStr">
        <is>
          <t xml:space="preserve">MA(2) pronóstico</t>
        </is>
      </c>
      <c r="L4" s="5" t="inlineStr">
        <is>
          <t xml:space="preserve">Error</t>
        </is>
      </c>
      <c r="M4" s="5" t="inlineStr">
        <is>
          <t xml:space="preserve">|Error|</t>
        </is>
      </c>
      <c r="N4" s="5" t="inlineStr">
        <is>
          <t xml:space="preserve">¿Entra en MAPE? (real ≠ 0)</t>
        </is>
      </c>
      <c r="O4" s="5" t="inlineStr">
        <is>
          <t xml:space="preserve">|Error| / Real</t>
        </is>
      </c>
      <c r="Q4" s="5" t="inlineStr">
        <is>
          <t xml:space="preserve">Parámetros</t>
        </is>
      </c>
      <c r="R4" s="5" t="inlineStr">
        <is>
          <t xml:space="preserve">Valor</t>
        </is>
      </c>
    </row>
    <row r="5" x14ac:dyDescent="0.2">
      <c r="A5" s="8">
        <v>1</v>
      </c>
      <c r="B5" s="9">
        <v>100</v>
      </c>
      <c r="I5" s="8">
        <v>1</v>
      </c>
      <c r="J5" s="9">
        <v>50</v>
      </c>
      <c r="Q5" s="10" t="inlineStr">
        <is>
          <t xml:space="preserve">Ventana del promedio móvil (periodos)</t>
        </is>
      </c>
      <c r="R5" s="11">
        <v>2</v>
      </c>
    </row>
    <row r="6" x14ac:dyDescent="0.2">
      <c r="A6" s="8">
        <v>2</v>
      </c>
      <c r="B6" s="9">
        <v>120</v>
      </c>
      <c r="I6" s="8">
        <v>2</v>
      </c>
      <c r="J6" s="9">
        <v>70</v>
      </c>
      <c r="K6" s="12"/>
      <c r="L6" s="12"/>
      <c r="M6" s="13"/>
      <c r="Q6" s="10" t="inlineStr">
        <is>
          <t xml:space="preserve">Tolerancia propuesta (unidades y puntos %)</t>
        </is>
      </c>
      <c r="R6" s="11">
        <v>0.01</v>
      </c>
    </row>
    <row r="7" x14ac:dyDescent="0.2">
      <c r="A7" s="8">
        <v>3</v>
      </c>
      <c r="B7" s="9">
        <v>110</v>
      </c>
      <c r="C7" s="12">
        <f>AVERAGE(B5:B6)</f>
      </c>
      <c r="D7" s="12">
        <f>B7-C7</f>
      </c>
      <c r="E7" s="12">
        <f>ABS(D7)</f>
      </c>
      <c r="F7" s="12">
        <f>IF(B7&lt;&gt;0,1,0)</f>
      </c>
      <c r="G7" s="13">
        <f>IF(F7=1,E7/B7,"")</f>
      </c>
      <c r="I7" s="8">
        <v>3</v>
      </c>
      <c r="J7" s="9">
        <v>0</v>
      </c>
      <c r="K7" s="12">
        <f>AVERAGE(J5:J6)</f>
      </c>
      <c r="L7" s="12">
        <f>J7-K7</f>
      </c>
      <c r="M7" s="12">
        <f>ABS(L7)</f>
      </c>
      <c r="N7" s="12">
        <f>IF(J7&lt;&gt;0,1,0)</f>
      </c>
      <c r="O7" s="13">
        <f>IF(N7=1,M7/J7,"")</f>
      </c>
      <c r="Q7" s="10" t="inlineStr">
        <is>
          <t xml:space="preserve">La ventana está fija en 2 en las fórmulas de las columnas C y K (informativo).</t>
        </is>
      </c>
    </row>
    <row r="8" x14ac:dyDescent="0.2">
      <c r="A8" s="8">
        <v>4</v>
      </c>
      <c r="B8" s="9">
        <v>130</v>
      </c>
      <c r="C8" s="12">
        <f>AVERAGE(B6:B7)</f>
      </c>
      <c r="D8" s="12">
        <f>B8-C8</f>
      </c>
      <c r="E8" s="12">
        <f>ABS(D8)</f>
      </c>
      <c r="F8" s="12">
        <f>IF(B8&lt;&gt;0,1,0)</f>
      </c>
      <c r="G8" s="13">
        <f>IF(F8=1,E8/B8,"")</f>
      </c>
      <c r="I8" s="8">
        <v>4</v>
      </c>
      <c r="J8" s="9">
        <v>80</v>
      </c>
      <c r="K8" s="12">
        <f>AVERAGE(J6:J7)</f>
      </c>
      <c r="L8" s="12">
        <f>J8-K8</f>
      </c>
      <c r="M8" s="12">
        <f>ABS(L8)</f>
      </c>
      <c r="N8" s="12">
        <f>IF(J8&lt;&gt;0,1,0)</f>
      </c>
      <c r="O8" s="13">
        <f>IF(N8=1,M8/J8,"")</f>
      </c>
    </row>
    <row r="9" x14ac:dyDescent="0.2">
      <c r="A9" s="8">
        <v>5</v>
      </c>
      <c r="B9" s="9"/>
      <c r="C9" s="12">
        <f>AVERAGE(B7:B8)</f>
      </c>
      <c r="D9" s="12"/>
      <c r="E9" s="12"/>
      <c r="F9" s="12"/>
      <c r="G9" s="13"/>
      <c r="I9" s="8">
        <v>5</v>
      </c>
      <c r="J9" s="9">
        <v>60</v>
      </c>
      <c r="K9" s="12">
        <f>AVERAGE(J7:J8)</f>
      </c>
      <c r="L9" s="12">
        <f>J9-K9</f>
      </c>
      <c r="M9" s="12">
        <f>ABS(L9)</f>
      </c>
      <c r="N9" s="12">
        <f>IF(J9&lt;&gt;0,1,0)</f>
      </c>
      <c r="O9" s="13">
        <f>IF(N9=1,M9/J9,"")</f>
      </c>
      <c r="Q9" s="5" t="inlineStr">
        <is>
          <t xml:space="preserve">Resumen (valores de referencia)</t>
        </is>
      </c>
      <c r="R9" s="5" t="inlineStr">
        <is>
          <t xml:space="preserve">Valor</t>
        </is>
      </c>
    </row>
    <row r="10" x14ac:dyDescent="0.2">
      <c r="A10" s="8"/>
      <c r="B10" s="9"/>
      <c r="C10" s="12"/>
      <c r="D10" s="12"/>
      <c r="E10" s="12"/>
      <c r="F10" s="12"/>
      <c r="G10" s="13"/>
      <c r="I10" s="8">
        <v>6</v>
      </c>
      <c r="J10" s="12"/>
      <c r="K10" s="12">
        <f>AVERAGE(J8:J9)</f>
      </c>
      <c r="L10" s="12"/>
      <c r="M10" s="13"/>
      <c r="Q10" s="10" t="inlineStr">
        <is>
          <t xml:space="preserve">Serie A · MAD</t>
        </is>
      </c>
      <c r="R10" s="15">
        <f>AVERAGE(E7:E8)</f>
      </c>
    </row>
    <row r="11" x14ac:dyDescent="0.2">
      <c r="A11" s="8"/>
      <c r="B11" s="16"/>
      <c r="C11" s="12"/>
      <c r="I11" s="12"/>
      <c r="Q11" s="10" t="inlineStr">
        <is>
          <t xml:space="preserve">Serie A · MAPE (%)</t>
        </is>
      </c>
      <c r="R11" s="15">
        <f>IF(SUM(F7:F8)=0,"No calculable",AVERAGE(G7:G8)*100)</f>
      </c>
    </row>
    <row r="12" x14ac:dyDescent="0.2">
      <c r="Q12" s="10" t="inlineStr">
        <is>
          <t xml:space="preserve">Serie A · pares usados / excluidos en MAPE</t>
        </is>
      </c>
      <c r="R12" s="15">
        <f>SUM(F7:F8)&amp;" / "&amp;(COUNT(F7:F8)-SUM(F7:F8))</f>
      </c>
    </row>
    <row r="13" x14ac:dyDescent="0.2">
      <c r="Q13" s="10" t="inlineStr">
        <is>
          <t xml:space="preserve">Serie A · estimación periodo 5</t>
        </is>
      </c>
      <c r="R13" s="15">
        <f>C9</f>
      </c>
    </row>
    <row r="14" x14ac:dyDescent="0.2">
      <c r="A14" s="2" t="inlineStr">
        <is>
          <t xml:space="preserve">Cómo leerlo: cambia una demanda (azul) y todo se recalcula. Serie A = ejemplo del documento de arquitectura (pronósticos 110 y 115, estimación 120, MAD 7,50, MAPE 5,769231 %). Serie B = serie sintética con un real igual a 0 para probar la exclusión en MAPE.</t>
        </is>
      </c>
      <c r="Q14" s="10" t="inlineStr">
        <is>
          <t xml:space="preserve">Serie B · MAD</t>
        </is>
      </c>
      <c r="R14" s="15">
        <f>AVERAGE(M7:M9)</f>
      </c>
    </row>
    <row r="15" x14ac:dyDescent="0.2">
      <c r="A15" s="2" t="inlineStr">
        <is>
          <t xml:space="preserve">Convención propuesta (pendiente de aprobación de Industrial): el pronóstico del periodo t es el promedio de los reales t−1 y t−2; el último pronóstico es una estimación futura sin error calculable; MAPE excluye los pares con real = 0 y, si no queda ninguno, es "no calculable". Serie C (0, 0, 0) se usa en CP-011: MAD = 0 y MAPE no calculable.</t>
        </is>
      </c>
      <c r="Q15" s="10" t="inlineStr">
        <is>
          <t xml:space="preserve">Serie B · MAPE (%)</t>
        </is>
      </c>
      <c r="R15" s="15">
        <f>IF(SUM(N7:N9)=0,"No calculable",AVERAGE(O7:O9)*100)</f>
      </c>
    </row>
    <row r="16" x14ac:dyDescent="0.2">
      <c r="Q16" s="10" t="inlineStr">
        <is>
          <t xml:space="preserve">Serie B · pares usados / excluidos en MAPE</t>
        </is>
      </c>
      <c r="R16" s="15">
        <f>SUM(N7:N9)&amp;" / "&amp;(COUNT(N7:N9)-SUM(N7:N9))</f>
      </c>
    </row>
    <row r="17" x14ac:dyDescent="0.2">
      <c r="Q17" s="10" t="inlineStr">
        <is>
          <t xml:space="preserve">Serie B · pronóstico periodo 4</t>
        </is>
      </c>
      <c r="R17" s="15">
        <f>K8</f>
      </c>
    </row>
    <row r="18" x14ac:dyDescent="0.2">
      <c r="Q18" s="10" t="inlineStr">
        <is>
          <t xml:space="preserve">Serie B · estimación periodo 6</t>
        </is>
      </c>
      <c r="R18" s="15">
        <f>K10</f>
      </c>
    </row>
    <row r="19" x14ac:dyDescent="0.2">
      <c r="Q19" s="10"/>
      <c r="R19" s="15"/>
    </row>
    <row r="20" x14ac:dyDescent="0.2">
      <c r="Q20" s="10"/>
      <c r="R20" s="1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0" customWidth="1"/>
    <col min="2" max="2" width="11" customWidth="1"/>
    <col min="3" max="3" width="22" customWidth="1"/>
    <col min="4" max="4" width="16" customWidth="1"/>
    <col min="5" max="5" width="22" customWidth="1"/>
    <col min="6" max="6" width="10" customWidth="1"/>
    <col min="7" max="7" width="28" customWidth="1"/>
    <col min="8" max="8" width="36" customWidth="1"/>
    <col min="9" max="9" width="34" customWidth="1"/>
    <col min="10" max="10" width="36" customWidth="1"/>
    <col min="11" max="11" width="11" customWidth="1"/>
    <col min="12" max="12" width="16" customWidth="1"/>
    <col min="13" max="13" width="14" customWidth="1"/>
    <col min="14" max="15" width="12" customWidth="1"/>
    <col min="16" max="16" width="11" customWidth="1"/>
  </cols>
  <sheetData>
    <row r="1" ht="18" x14ac:dyDescent="0.2">
      <c r="A1" s="1" t="inlineStr">
        <is>
          <t xml:space="preserve">Catálogo de casos de prueba (Anexo A del plan maestro)</t>
        </is>
      </c>
    </row>
    <row r="2" x14ac:dyDescent="0.2">
      <c r="A2" s="2" t="inlineStr">
        <is>
          <t xml:space="preserve">Un caso por fila. Módulo se completa según el requisito. CP-001 a CP-009 toman su veredicto de la hoja Verificacion. Ejecución: 22/10/2026 contra el backend en el commit de trabajo actual.</t>
        </is>
      </c>
    </row>
    <row r="4" ht="31.5" customHeight="1" x14ac:dyDescent="0.2">
      <c r="A4" s="5" t="s">
        <v>110</v>
      </c>
      <c r="B4" s="5" t="s">
        <v>33</v>
      </c>
      <c r="C4" s="5" t="s">
        <v>111</v>
      </c>
      <c r="D4" s="5" t="s">
        <v>112</v>
      </c>
      <c r="E4" s="5" t="s">
        <v>113</v>
      </c>
      <c r="F4" s="5" t="s">
        <v>37</v>
      </c>
      <c r="G4" s="5" t="s">
        <v>114</v>
      </c>
      <c r="H4" s="5" t="s">
        <v>115</v>
      </c>
      <c r="I4" s="5" t="s">
        <v>116</v>
      </c>
      <c r="J4" s="5" t="s">
        <v>117</v>
      </c>
      <c r="K4" s="5" t="s">
        <v>118</v>
      </c>
      <c r="L4" s="5" t="s">
        <v>119</v>
      </c>
      <c r="M4" s="5" t="s">
        <v>120</v>
      </c>
      <c r="N4" s="5" t="s">
        <v>121</v>
      </c>
      <c r="O4" s="5" t="s">
        <v>122</v>
      </c>
      <c r="P4" s="5" t="s">
        <v>123</v>
      </c>
    </row>
    <row r="5" x14ac:dyDescent="0.2" ht="58" customHeight="1">
      <c r="A5" s="16" t="inlineStr">
        <is>
          <t xml:space="preserve">CP-001</t>
        </is>
      </c>
      <c r="B5" s="16" t="inlineStr">
        <is>
          <t xml:space="preserve">RF-07</t>
        </is>
      </c>
      <c r="C5" s="10">
        <f>IF(B5="","",IFERROR(INDEX(Requisitos!$C$5:$C$60,MATCH(B5,Requisitos!$A$5:$A$60,0)),"¿Requisito no existe?"))</f>
      </c>
      <c r="D5" s="6" t="inlineStr">
        <is>
          <t xml:space="preserve">Unitaria</t>
        </is>
      </c>
      <c r="E5" s="6" t="inlineStr">
        <is>
          <t xml:space="preserve">Verificación numérica</t>
        </is>
      </c>
      <c r="F5" s="16" t="inlineStr">
        <is>
          <t xml:space="preserve">Alta</t>
        </is>
      </c>
      <c r="G5" s="6" t="inlineStr">
        <is>
          <t xml:space="preserve">Serie A cargada (4 meses)</t>
        </is>
      </c>
      <c r="H5" s="6" t="inlineStr">
        <is>
          <t xml:space="preserve">Serie A: 100, 120, 110, 130; método MA; ventana 2</t>
        </is>
      </c>
      <c r="I5" s="6" t="inlineStr">
        <is>
          <t xml:space="preserve">Ejecutar pronóstico MA(2)</t>
        </is>
      </c>
      <c r="J5" s="6" t="inlineStr">
        <is>
          <t xml:space="preserve">Pronóstico del periodo 3 = 110,00</t>
        </is>
      </c>
      <c r="K5" s="9">
        <v>0.01</v>
      </c>
      <c r="L5" s="16" t="inlineStr">
        <is>
          <t xml:space="preserve">No ejecutable: el servidor responde 501 Not Implemented (función pendiente de reglas de Industrial)</t>
        </is>
      </c>
      <c r="M5" s="17">
        <f>IFERROR(INDEX(Verificacion!$H$5:$H$24,MATCH(A5,Verificacion!$A$5:$A$24,0)),"PENDIENTE")</f>
      </c>
      <c r="N5" s="16"/>
      <c r="O5" s="16" t="inlineStr">
        <is>
          <t xml:space="preserve">Script API</t>
        </is>
      </c>
      <c r="P5" s="16" t="inlineStr">
        <is>
          <t xml:space="preserve">22/10/2026</t>
        </is>
      </c>
    </row>
    <row r="6" x14ac:dyDescent="0.2" ht="58" customHeight="1">
      <c r="A6" s="16" t="inlineStr">
        <is>
          <t xml:space="preserve">CP-002</t>
        </is>
      </c>
      <c r="B6" s="16" t="inlineStr">
        <is>
          <t xml:space="preserve">RF-07</t>
        </is>
      </c>
      <c r="C6" s="10">
        <f>IF(B6="","",IFERROR(INDEX(Requisitos!$C$5:$C$60,MATCH(B6,Requisitos!$A$5:$A$60,0)),"¿Requisito no existe?"))</f>
      </c>
      <c r="D6" s="6" t="inlineStr">
        <is>
          <t xml:space="preserve">Unitaria</t>
        </is>
      </c>
      <c r="E6" s="6" t="inlineStr">
        <is>
          <t xml:space="preserve">Verificación numérica</t>
        </is>
      </c>
      <c r="F6" s="16" t="inlineStr">
        <is>
          <t xml:space="preserve">Alta</t>
        </is>
      </c>
      <c r="G6" s="6" t="inlineStr">
        <is>
          <t xml:space="preserve">Ídem CP-001</t>
        </is>
      </c>
      <c r="H6" s="6" t="inlineStr">
        <is>
          <t xml:space="preserve">Ídem CP-001</t>
        </is>
      </c>
      <c r="I6" s="6" t="inlineStr">
        <is>
          <t xml:space="preserve">Ejecutar pronóstico MA(2)</t>
        </is>
      </c>
      <c r="J6" s="6" t="inlineStr">
        <is>
          <t xml:space="preserve">Pronóstico del periodo 4 = 115,00</t>
        </is>
      </c>
      <c r="K6" s="9">
        <v>0.01</v>
      </c>
      <c r="L6" s="16" t="inlineStr">
        <is>
          <t xml:space="preserve">No ejecutable: el servidor responde 501 Not Implemented (función pendiente de reglas de Industrial)</t>
        </is>
      </c>
      <c r="M6" s="17">
        <f>IFERROR(INDEX(Verificacion!$H$5:$H$24,MATCH(A6,Verificacion!$A$5:$A$24,0)),"PENDIENTE")</f>
      </c>
      <c r="N6" s="16"/>
      <c r="O6" s="16" t="inlineStr">
        <is>
          <t xml:space="preserve">Script API</t>
        </is>
      </c>
      <c r="P6" s="16" t="inlineStr">
        <is>
          <t xml:space="preserve">22/10/2026</t>
        </is>
      </c>
    </row>
    <row r="7" x14ac:dyDescent="0.2" ht="58" customHeight="1">
      <c r="A7" s="16" t="inlineStr">
        <is>
          <t xml:space="preserve">CP-003</t>
        </is>
      </c>
      <c r="B7" s="16" t="inlineStr">
        <is>
          <t xml:space="preserve">RF-07</t>
        </is>
      </c>
      <c r="C7" s="10">
        <f>IF(B7="","",IFERROR(INDEX(Requisitos!$C$5:$C$60,MATCH(B7,Requisitos!$A$5:$A$60,0)),"¿Requisito no existe?"))</f>
      </c>
      <c r="D7" s="6" t="inlineStr">
        <is>
          <t xml:space="preserve">Unitaria</t>
        </is>
      </c>
      <c r="E7" s="6" t="inlineStr">
        <is>
          <t xml:space="preserve">Verificación numérica</t>
        </is>
      </c>
      <c r="F7" s="16" t="inlineStr">
        <is>
          <t xml:space="preserve">Alta</t>
        </is>
      </c>
      <c r="G7" s="6" t="inlineStr">
        <is>
          <t xml:space="preserve">Ídem CP-001</t>
        </is>
      </c>
      <c r="H7" s="6" t="inlineStr">
        <is>
          <t xml:space="preserve">Ídem CP-001</t>
        </is>
      </c>
      <c r="I7" s="6" t="inlineStr">
        <is>
          <t xml:space="preserve">Ejecutar pronóstico MA(2)</t>
        </is>
      </c>
      <c r="J7" s="6" t="inlineStr">
        <is>
          <t xml:space="preserve">Estimación futura del periodo 5 = 120,00, sin error calculable</t>
        </is>
      </c>
      <c r="K7" s="9">
        <v>0.01</v>
      </c>
      <c r="L7" s="16" t="inlineStr">
        <is>
          <t xml:space="preserve">No ejecutable: el servidor responde 501 Not Implemented (función pendiente de reglas de Industrial)</t>
        </is>
      </c>
      <c r="M7" s="17">
        <f>IFERROR(INDEX(Verificacion!$H$5:$H$24,MATCH(A7,Verificacion!$A$5:$A$24,0)),"PENDIENTE")</f>
      </c>
      <c r="N7" s="16"/>
      <c r="O7" s="16" t="inlineStr">
        <is>
          <t xml:space="preserve">Script API</t>
        </is>
      </c>
      <c r="P7" s="16" t="inlineStr">
        <is>
          <t xml:space="preserve">22/10/2026</t>
        </is>
      </c>
    </row>
    <row r="8" x14ac:dyDescent="0.2" ht="58" customHeight="1">
      <c r="A8" s="16" t="inlineStr">
        <is>
          <t xml:space="preserve">CP-004</t>
        </is>
      </c>
      <c r="B8" s="16" t="inlineStr">
        <is>
          <t xml:space="preserve">RF-10</t>
        </is>
      </c>
      <c r="C8" s="10">
        <f>IF(B8="","",IFERROR(INDEX(Requisitos!$C$5:$C$60,MATCH(B8,Requisitos!$A$5:$A$60,0)),"¿Requisito no existe?"))</f>
      </c>
      <c r="D8" s="6" t="inlineStr">
        <is>
          <t xml:space="preserve">Unitaria</t>
        </is>
      </c>
      <c r="E8" s="6" t="inlineStr">
        <is>
          <t xml:space="preserve">Verificación numérica</t>
        </is>
      </c>
      <c r="F8" s="16" t="inlineStr">
        <is>
          <t xml:space="preserve">Alta</t>
        </is>
      </c>
      <c r="G8" s="6" t="inlineStr">
        <is>
          <t xml:space="preserve">Ídem CP-001</t>
        </is>
      </c>
      <c r="H8" s="6" t="inlineStr">
        <is>
          <t xml:space="preserve">Ídem CP-001</t>
        </is>
      </c>
      <c r="I8" s="6" t="inlineStr">
        <is>
          <t xml:space="preserve">Calcular MAD sobre los periodos 3 y 4</t>
        </is>
      </c>
      <c r="J8" s="6" t="inlineStr">
        <is>
          <t xml:space="preserve">MAD = 7,50</t>
        </is>
      </c>
      <c r="K8" s="9">
        <v>0.01</v>
      </c>
      <c r="L8" s="16" t="inlineStr">
        <is>
          <t xml:space="preserve">No ejecutable: el servidor responde 501 Not Implemented (función pendiente de reglas de Industrial)</t>
        </is>
      </c>
      <c r="M8" s="17">
        <f>IFERROR(INDEX(Verificacion!$H$5:$H$24,MATCH(A8,Verificacion!$A$5:$A$24,0)),"PENDIENTE")</f>
      </c>
      <c r="N8" s="16"/>
      <c r="O8" s="16" t="inlineStr">
        <is>
          <t xml:space="preserve">Script API</t>
        </is>
      </c>
      <c r="P8" s="16" t="inlineStr">
        <is>
          <t xml:space="preserve">22/10/2026</t>
        </is>
      </c>
    </row>
    <row r="9" x14ac:dyDescent="0.2" ht="58" customHeight="1">
      <c r="A9" s="16" t="inlineStr">
        <is>
          <t xml:space="preserve">CP-005</t>
        </is>
      </c>
      <c r="B9" s="16" t="inlineStr">
        <is>
          <t xml:space="preserve">RF-11</t>
        </is>
      </c>
      <c r="C9" s="10">
        <f>IF(B9="","",IFERROR(INDEX(Requisitos!$C$5:$C$60,MATCH(B9,Requisitos!$A$5:$A$60,0)),"¿Requisito no existe?"))</f>
      </c>
      <c r="D9" s="6" t="inlineStr">
        <is>
          <t xml:space="preserve">Unitaria</t>
        </is>
      </c>
      <c r="E9" s="6" t="inlineStr">
        <is>
          <t xml:space="preserve">Verificación numérica</t>
        </is>
      </c>
      <c r="F9" s="16" t="inlineStr">
        <is>
          <t xml:space="preserve">Alta</t>
        </is>
      </c>
      <c r="G9" s="6" t="inlineStr">
        <is>
          <t xml:space="preserve">Ídem CP-001</t>
        </is>
      </c>
      <c r="H9" s="6" t="inlineStr">
        <is>
          <t xml:space="preserve">Ídem CP-001</t>
        </is>
      </c>
      <c r="I9" s="6" t="inlineStr">
        <is>
          <t xml:space="preserve">Calcular MAPE sobre los periodos 3 y 4</t>
        </is>
      </c>
      <c r="J9" s="6" t="inlineStr">
        <is>
          <t xml:space="preserve">MAPE = 5,77 % (5,769231 %), 2 pares usados y 0 excluidos</t>
        </is>
      </c>
      <c r="K9" s="9">
        <v>0.01</v>
      </c>
      <c r="L9" s="16" t="inlineStr">
        <is>
          <t xml:space="preserve">No ejecutable: el servidor responde 501 Not Implemented (función pendiente de reglas de Industrial)</t>
        </is>
      </c>
      <c r="M9" s="17">
        <f>IFERROR(INDEX(Verificacion!$H$5:$H$24,MATCH(A9,Verificacion!$A$5:$A$24,0)),"PENDIENTE")</f>
      </c>
      <c r="N9" s="16"/>
      <c r="O9" s="16" t="inlineStr">
        <is>
          <t xml:space="preserve">Script API</t>
        </is>
      </c>
      <c r="P9" s="16" t="inlineStr">
        <is>
          <t xml:space="preserve">22/10/2026</t>
        </is>
      </c>
    </row>
    <row r="10" x14ac:dyDescent="0.2" ht="58" customHeight="1">
      <c r="A10" s="16" t="inlineStr">
        <is>
          <t xml:space="preserve">CP-006</t>
        </is>
      </c>
      <c r="B10" s="16" t="inlineStr">
        <is>
          <t xml:space="preserve">RF-07</t>
        </is>
      </c>
      <c r="C10" s="10">
        <f>IF(B10="","",IFERROR(INDEX(Requisitos!$C$5:$C$60,MATCH(B10,Requisitos!$A$5:$A$60,0)),"¿Requisito no existe?"))</f>
      </c>
      <c r="D10" s="6" t="inlineStr">
        <is>
          <t xml:space="preserve">Unitaria</t>
        </is>
      </c>
      <c r="E10" s="6" t="inlineStr">
        <is>
          <t xml:space="preserve">Verificación numérica</t>
        </is>
      </c>
      <c r="F10" s="16" t="inlineStr">
        <is>
          <t xml:space="preserve">Alta</t>
        </is>
      </c>
      <c r="G10" s="6" t="inlineStr">
        <is>
          <t xml:space="preserve">Serie B cargada (5 meses)</t>
        </is>
      </c>
      <c r="H10" s="6" t="inlineStr">
        <is>
          <t xml:space="preserve">Serie B: 50, 70, 0, 80, 60; método MA; ventana 2</t>
        </is>
      </c>
      <c r="I10" s="6" t="inlineStr">
        <is>
          <t xml:space="preserve">Ejecutar pronóstico MA(2)</t>
        </is>
      </c>
      <c r="J10" s="6" t="inlineStr">
        <is>
          <t xml:space="preserve">Pronóstico del periodo 4 = 35,00</t>
        </is>
      </c>
      <c r="K10" s="9">
        <v>0.01</v>
      </c>
      <c r="L10" s="16" t="inlineStr">
        <is>
          <t xml:space="preserve">No ejecutable: el servidor responde 501 Not Implemented (función pendiente de reglas de Industrial)</t>
        </is>
      </c>
      <c r="M10" s="17">
        <f>IFERROR(INDEX(Verificacion!$H$5:$H$24,MATCH(A10,Verificacion!$A$5:$A$24,0)),"PENDIENTE")</f>
      </c>
      <c r="N10" s="16"/>
      <c r="O10" s="16" t="inlineStr">
        <is>
          <t xml:space="preserve">Script API</t>
        </is>
      </c>
      <c r="P10" s="16" t="inlineStr">
        <is>
          <t xml:space="preserve">22/10/2026</t>
        </is>
      </c>
    </row>
    <row r="11" x14ac:dyDescent="0.2" ht="58" customHeight="1">
      <c r="A11" s="16" t="inlineStr">
        <is>
          <t xml:space="preserve">CP-007</t>
        </is>
      </c>
      <c r="B11" s="16" t="inlineStr">
        <is>
          <t xml:space="preserve">RF-10</t>
        </is>
      </c>
      <c r="C11" s="10">
        <f>IF(B11="","",IFERROR(INDEX(Requisitos!$C$5:$C$60,MATCH(B11,Requisitos!$A$5:$A$60,0)),"¿Requisito no existe?"))</f>
      </c>
      <c r="D11" s="6" t="inlineStr">
        <is>
          <t xml:space="preserve">Unitaria</t>
        </is>
      </c>
      <c r="E11" s="6" t="inlineStr">
        <is>
          <t xml:space="preserve">Verificación numérica</t>
        </is>
      </c>
      <c r="F11" s="16" t="inlineStr">
        <is>
          <t xml:space="preserve">Alta</t>
        </is>
      </c>
      <c r="G11" s="6" t="inlineStr">
        <is>
          <t xml:space="preserve">Ídem CP-006</t>
        </is>
      </c>
      <c r="H11" s="6" t="inlineStr">
        <is>
          <t xml:space="preserve">Ídem CP-006</t>
        </is>
      </c>
      <c r="I11" s="6" t="inlineStr">
        <is>
          <t xml:space="preserve">Calcular MAD sobre los periodos 3 a 5</t>
        </is>
      </c>
      <c r="J11" s="6" t="inlineStr">
        <is>
          <t xml:space="preserve">MAD = 41,67</t>
        </is>
      </c>
      <c r="K11" s="9">
        <v>0.01</v>
      </c>
      <c r="L11" s="16" t="inlineStr">
        <is>
          <t xml:space="preserve">No ejecutable: el servidor responde 501 Not Implemented (función pendiente de reglas de Industrial)</t>
        </is>
      </c>
      <c r="M11" s="17">
        <f>IFERROR(INDEX(Verificacion!$H$5:$H$24,MATCH(A11,Verificacion!$A$5:$A$24,0)),"PENDIENTE")</f>
      </c>
      <c r="N11" s="16"/>
      <c r="O11" s="16" t="inlineStr">
        <is>
          <t xml:space="preserve">Script API</t>
        </is>
      </c>
      <c r="P11" s="16" t="inlineStr">
        <is>
          <t xml:space="preserve">22/10/2026</t>
        </is>
      </c>
    </row>
    <row r="12" x14ac:dyDescent="0.2" ht="58" customHeight="1">
      <c r="A12" s="16" t="inlineStr">
        <is>
          <t xml:space="preserve">CP-008</t>
        </is>
      </c>
      <c r="B12" s="16" t="inlineStr">
        <is>
          <t xml:space="preserve">RF-11</t>
        </is>
      </c>
      <c r="C12" s="10">
        <f>IF(B12="","",IFERROR(INDEX(Requisitos!$C$5:$C$60,MATCH(B12,Requisitos!$A$5:$A$60,0)),"¿Requisito no existe?"))</f>
      </c>
      <c r="D12" s="6" t="inlineStr">
        <is>
          <t xml:space="preserve">Unitaria</t>
        </is>
      </c>
      <c r="E12" s="6" t="inlineStr">
        <is>
          <t xml:space="preserve">Verificación numérica</t>
        </is>
      </c>
      <c r="F12" s="16" t="inlineStr">
        <is>
          <t xml:space="preserve">Alta</t>
        </is>
      </c>
      <c r="G12" s="6" t="inlineStr">
        <is>
          <t xml:space="preserve">Ídem CP-006</t>
        </is>
      </c>
      <c r="H12" s="6" t="inlineStr">
        <is>
          <t xml:space="preserve">Ídem CP-006 (el real del periodo 3 es 0)</t>
        </is>
      </c>
      <c r="I12" s="6" t="inlineStr">
        <is>
          <t xml:space="preserve">Calcular MAPE sobre los periodos 3 a 5</t>
        </is>
      </c>
      <c r="J12" s="6" t="inlineStr">
        <is>
          <t xml:space="preserve">MAPE = 44,79 %, 2 pares usados y 1 excluido (real = 0)</t>
        </is>
      </c>
      <c r="K12" s="9">
        <v>0.01</v>
      </c>
      <c r="L12" s="16" t="inlineStr">
        <is>
          <t xml:space="preserve">No ejecutable: el servidor responde 501 Not Implemented (función pendiente de reglas de Industrial)</t>
        </is>
      </c>
      <c r="M12" s="17">
        <f>IFERROR(INDEX(Verificacion!$H$5:$H$24,MATCH(A12,Verificacion!$A$5:$A$24,0)),"PENDIENTE")</f>
      </c>
      <c r="N12" s="16"/>
      <c r="O12" s="16" t="inlineStr">
        <is>
          <t xml:space="preserve">Script API</t>
        </is>
      </c>
      <c r="P12" s="16" t="inlineStr">
        <is>
          <t xml:space="preserve">22/10/2026</t>
        </is>
      </c>
    </row>
    <row r="13" x14ac:dyDescent="0.2" ht="58" customHeight="1">
      <c r="A13" s="16" t="inlineStr">
        <is>
          <t xml:space="preserve">CP-009</t>
        </is>
      </c>
      <c r="B13" s="16" t="inlineStr">
        <is>
          <t xml:space="preserve">RF-07</t>
        </is>
      </c>
      <c r="C13" s="10">
        <f>IF(B13="","",IFERROR(INDEX(Requisitos!$C$5:$C$60,MATCH(B13,Requisitos!$A$5:$A$60,0)),"¿Requisito no existe?"))</f>
      </c>
      <c r="D13" s="6" t="inlineStr">
        <is>
          <t xml:space="preserve">Unitaria</t>
        </is>
      </c>
      <c r="E13" s="6" t="inlineStr">
        <is>
          <t xml:space="preserve">Verificación numérica</t>
        </is>
      </c>
      <c r="F13" s="16" t="inlineStr">
        <is>
          <t xml:space="preserve">Alta</t>
        </is>
      </c>
      <c r="G13" s="6" t="inlineStr">
        <is>
          <t xml:space="preserve">Ídem CP-006</t>
        </is>
      </c>
      <c r="H13" s="6" t="inlineStr">
        <is>
          <t xml:space="preserve">Ídem CP-006</t>
        </is>
      </c>
      <c r="I13" s="6" t="inlineStr">
        <is>
          <t xml:space="preserve">Ejecutar pronóstico MA(2)</t>
        </is>
      </c>
      <c r="J13" s="6" t="inlineStr">
        <is>
          <t xml:space="preserve">Estimación futura del periodo 6 = 70,00</t>
        </is>
      </c>
      <c r="K13" s="9">
        <v>0.01</v>
      </c>
      <c r="L13" s="16" t="inlineStr">
        <is>
          <t xml:space="preserve">No ejecutable: el servidor responde 501 Not Implemented (función pendiente de reglas de Industrial)</t>
        </is>
      </c>
      <c r="M13" s="16">
        <f>IFERROR(INDEX(Verificacion!$H$5:$H$24,MATCH(A13,Verificacion!$A$5:$A$24,0)),"PENDIENTE")</f>
      </c>
      <c r="N13" s="16"/>
      <c r="O13" s="16" t="inlineStr">
        <is>
          <t xml:space="preserve">Script API</t>
        </is>
      </c>
      <c r="P13" s="16" t="inlineStr">
        <is>
          <t xml:space="preserve">22/10/2026</t>
        </is>
      </c>
    </row>
    <row r="14" x14ac:dyDescent="0.2" ht="58" customHeight="1">
      <c r="A14" s="16" t="inlineStr">
        <is>
          <t xml:space="preserve">CP-010</t>
        </is>
      </c>
      <c r="B14" s="16" t="inlineStr">
        <is>
          <t xml:space="preserve">RF-07</t>
        </is>
      </c>
      <c r="C14" s="10">
        <f>IF(B14="","",IFERROR(INDEX(Requisitos!$C$5:$C$60,MATCH(B14,Requisitos!$A$5:$A$60,0)),"¿Requisito no existe?"))</f>
      </c>
      <c r="D14" s="6" t="inlineStr">
        <is>
          <t xml:space="preserve">Unitaria</t>
        </is>
      </c>
      <c r="E14" s="6" t="inlineStr">
        <is>
          <t xml:space="preserve">Valores límite</t>
        </is>
      </c>
      <c r="F14" s="16" t="inlineStr">
        <is>
          <t xml:space="preserve">Alta</t>
        </is>
      </c>
      <c r="G14" s="6" t="inlineStr">
        <is>
          <t xml:space="preserve">Serie con una sola observación</t>
        </is>
      </c>
      <c r="H14" s="6" t="inlineStr">
        <is>
          <t xml:space="preserve">Serie: 100</t>
        </is>
      </c>
      <c r="I14" s="6" t="inlineStr">
        <is>
          <t xml:space="preserve">Ejecutar pronóstico MA(2)</t>
        </is>
      </c>
      <c r="J14" s="6" t="inlineStr">
        <is>
          <t xml:space="preserve">Rechaza con 422 business-rule ("se requieren al menos 2 observaciones") y no guarda ejecución</t>
        </is>
      </c>
      <c r="K14" s="9" t="inlineStr">
        <is>
          <t xml:space="preserve">N/A</t>
        </is>
      </c>
      <c r="L14" s="16" t="inlineStr">
        <is>
          <t xml:space="preserve">No ejecutable: el servidor responde 501 Not Implemented (función pendiente de reglas de Industrial)</t>
        </is>
      </c>
      <c r="M14" s="16" t="inlineStr">
        <is>
          <t xml:space="preserve">BLOQUEADO</t>
        </is>
      </c>
      <c r="N14" s="16"/>
      <c r="O14" s="16"/>
      <c r="P14" s="16"/>
    </row>
    <row r="15" x14ac:dyDescent="0.2" ht="58" customHeight="1">
      <c r="A15" s="16" t="inlineStr">
        <is>
          <t xml:space="preserve">CP-011</t>
        </is>
      </c>
      <c r="B15" s="16" t="inlineStr">
        <is>
          <t xml:space="preserve">RF-11</t>
        </is>
      </c>
      <c r="C15" s="10">
        <f>IF(B15="","",IFERROR(INDEX(Requisitos!$C$5:$C$60,MATCH(B15,Requisitos!$A$5:$A$60,0)),"¿Requisito no existe?"))</f>
      </c>
      <c r="D15" s="6" t="inlineStr">
        <is>
          <t xml:space="preserve">Unitaria</t>
        </is>
      </c>
      <c r="E15" s="6" t="inlineStr">
        <is>
          <t xml:space="preserve">Valores límite</t>
        </is>
      </c>
      <c r="F15" s="16" t="inlineStr">
        <is>
          <t xml:space="preserve">Alta</t>
        </is>
      </c>
      <c r="G15" s="6" t="inlineStr">
        <is>
          <t xml:space="preserve">Serie C cargada</t>
        </is>
      </c>
      <c r="H15" s="6" t="inlineStr">
        <is>
          <t xml:space="preserve">Serie C: 0, 0, 0</t>
        </is>
      </c>
      <c r="I15" s="6" t="inlineStr">
        <is>
          <t xml:space="preserve">Ejecutar MA(2) y calcular MAD y MAPE</t>
        </is>
      </c>
      <c r="J15" s="6" t="inlineStr">
        <is>
          <t xml:space="preserve">MAD = 0,00; MAPE sin valor, marcado "no calculable", 0 pares usados y 1 excluido</t>
        </is>
      </c>
      <c r="K15" s="9" t="inlineStr">
        <is>
          <t xml:space="preserve">N/A</t>
        </is>
      </c>
      <c r="L15" s="16" t="inlineStr">
        <is>
          <t xml:space="preserve">No ejecutable: el servidor responde 501 Not Implemented (función pendiente de reglas de Industrial)</t>
        </is>
      </c>
      <c r="M15" s="16" t="inlineStr">
        <is>
          <t xml:space="preserve">BLOQUEADO</t>
        </is>
      </c>
      <c r="N15" s="16"/>
      <c r="O15" s="16"/>
      <c r="P15" s="16"/>
    </row>
    <row r="16" x14ac:dyDescent="0.2" ht="58" customHeight="1">
      <c r="A16" s="16" t="inlineStr">
        <is>
          <t xml:space="preserve">CP-012</t>
        </is>
      </c>
      <c r="B16" s="16" t="inlineStr">
        <is>
          <t xml:space="preserve">RF-06</t>
        </is>
      </c>
      <c r="C16" s="10">
        <f>IF(B16="","",IFERROR(INDEX(Requisitos!$C$5:$C$60,MATCH(B16,Requisitos!$A$5:$A$60,0)),"¿Requisito no existe?"))</f>
      </c>
      <c r="D16" s="6" t="inlineStr">
        <is>
          <t xml:space="preserve">Integración</t>
        </is>
      </c>
      <c r="E16" s="6" t="inlineStr">
        <is>
          <t xml:space="preserve">Partición de equivalencia</t>
        </is>
      </c>
      <c r="F16" s="16" t="inlineStr">
        <is>
          <t xml:space="preserve">Alta</t>
        </is>
      </c>
      <c r="G16" s="6" t="inlineStr">
        <is>
          <t xml:space="preserve">Sesión como analista de datos</t>
        </is>
      </c>
      <c r="H16" s="6" t="inlineStr">
        <is>
          <t xml:space="preserve">Observación con valor −5</t>
        </is>
      </c>
      <c r="I16" s="6" t="inlineStr">
        <is>
          <t xml:space="preserve">Cargar el lote</t>
        </is>
      </c>
      <c r="J16" s="6" t="inlineStr">
        <is>
          <t xml:space="preserve">400 validation con el error junto al campo valor; el lote no se guarda</t>
        </is>
      </c>
      <c r="K16" s="9" t="inlineStr">
        <is>
          <t xml:space="preserve">N/A</t>
        </is>
      </c>
      <c r="L16" s="16" t="inlineStr">
        <is>
          <t xml:space="preserve">No ejecutable: el servidor responde 501 Not Implemented (función pendiente de reglas de Industrial)</t>
        </is>
      </c>
      <c r="M16" s="16" t="inlineStr">
        <is>
          <t xml:space="preserve">BLOQUEADO</t>
        </is>
      </c>
      <c r="N16" s="16"/>
      <c r="O16" s="16"/>
      <c r="P16" s="16"/>
    </row>
    <row r="17" x14ac:dyDescent="0.2" ht="58" customHeight="1">
      <c r="A17" s="16" t="inlineStr">
        <is>
          <t xml:space="preserve">CP-013</t>
        </is>
      </c>
      <c r="B17" s="16" t="inlineStr">
        <is>
          <t xml:space="preserve">RF-06</t>
        </is>
      </c>
      <c r="C17" s="10">
        <f>IF(B17="","",IFERROR(INDEX(Requisitos!$C$5:$C$60,MATCH(B17,Requisitos!$A$5:$A$60,0)),"¿Requisito no existe?"))</f>
      </c>
      <c r="D17" s="6" t="inlineStr">
        <is>
          <t xml:space="preserve">Integración</t>
        </is>
      </c>
      <c r="E17" s="6" t="inlineStr">
        <is>
          <t xml:space="preserve">Partición de equivalencia</t>
        </is>
      </c>
      <c r="F17" s="16" t="inlineStr">
        <is>
          <t xml:space="preserve">Alta</t>
        </is>
      </c>
      <c r="G17" s="6" t="inlineStr">
        <is>
          <t xml:space="preserve">Serie con el periodo 2026-01 cargado</t>
        </is>
      </c>
      <c r="H17" s="6" t="inlineStr">
        <is>
          <t xml:space="preserve">Segunda observación para 2026-01</t>
        </is>
      </c>
      <c r="I17" s="6" t="inlineStr">
        <is>
          <t xml:space="preserve">Cargar el lote</t>
        </is>
      </c>
      <c r="J17" s="6" t="inlineStr">
        <is>
          <t xml:space="preserve">409 conflict; la serie conserva una sola observación por periodo</t>
        </is>
      </c>
      <c r="K17" s="9" t="inlineStr">
        <is>
          <t xml:space="preserve">N/A</t>
        </is>
      </c>
      <c r="L17" s="16" t="inlineStr">
        <is>
          <t xml:space="preserve">No ejecutable: el servidor responde 501 Not Implemented (función pendiente de reglas de Industrial)</t>
        </is>
      </c>
      <c r="M17" s="16" t="inlineStr">
        <is>
          <t xml:space="preserve">BLOQUEADO</t>
        </is>
      </c>
      <c r="N17" s="16"/>
      <c r="O17" s="16"/>
      <c r="P17" s="16"/>
    </row>
    <row r="18" x14ac:dyDescent="0.2" ht="58" customHeight="1">
      <c r="A18" s="16" t="inlineStr">
        <is>
          <t xml:space="preserve">CP-014</t>
        </is>
      </c>
      <c r="B18" s="16" t="inlineStr">
        <is>
          <t xml:space="preserve">RF-06</t>
        </is>
      </c>
      <c r="C18" s="10">
        <f>IF(B18="","",IFERROR(INDEX(Requisitos!$C$5:$C$60,MATCH(B18,Requisitos!$A$5:$A$60,0)),"¿Requisito no existe?"))</f>
      </c>
      <c r="D18" s="6" t="inlineStr">
        <is>
          <t xml:space="preserve">Integración</t>
        </is>
      </c>
      <c r="E18" s="6" t="inlineStr">
        <is>
          <t xml:space="preserve">Valores límite</t>
        </is>
      </c>
      <c r="F18" s="16" t="inlineStr">
        <is>
          <t xml:space="preserve">Media</t>
        </is>
      </c>
      <c r="G18" s="6" t="inlineStr">
        <is>
          <t xml:space="preserve">Sesión como analista de datos</t>
        </is>
      </c>
      <c r="H18" s="6" t="inlineStr">
        <is>
          <t xml:space="preserve">Lote con el periodo 2026-03 sin valor</t>
        </is>
      </c>
      <c r="I18" s="6" t="inlineStr">
        <is>
          <t xml:space="preserve">Cargar el lote</t>
        </is>
      </c>
      <c r="J18" s="6" t="inlineStr">
        <is>
          <t xml:space="preserve">Rechaza el lote indicando el periodo; el dato ausente no se guarda como 0</t>
        </is>
      </c>
      <c r="K18" s="9" t="inlineStr">
        <is>
          <t xml:space="preserve">N/A</t>
        </is>
      </c>
      <c r="L18" s="16" t="inlineStr">
        <is>
          <t xml:space="preserve">No ejecutable: el servidor responde 501 Not Implemented (función pendiente de reglas de Industrial)</t>
        </is>
      </c>
      <c r="M18" s="16" t="inlineStr">
        <is>
          <t xml:space="preserve">BLOQUEADO</t>
        </is>
      </c>
      <c r="N18" s="16"/>
      <c r="O18" s="16"/>
      <c r="P18" s="16"/>
    </row>
    <row r="19" x14ac:dyDescent="0.2" ht="58" customHeight="1">
      <c r="A19" s="16" t="inlineStr">
        <is>
          <t xml:space="preserve">CP-015</t>
        </is>
      </c>
      <c r="B19" s="16" t="inlineStr">
        <is>
          <t xml:space="preserve">RF-08</t>
        </is>
      </c>
      <c r="C19" s="10">
        <f>IF(B19="","",IFERROR(INDEX(Requisitos!$C$5:$C$60,MATCH(B19,Requisitos!$A$5:$A$60,0)),"¿Requisito no existe?"))</f>
      </c>
      <c r="D19" s="6" t="inlineStr">
        <is>
          <t xml:space="preserve">Integración</t>
        </is>
      </c>
      <c r="E19" s="6" t="inlineStr">
        <is>
          <t xml:space="preserve">Transición de estados</t>
        </is>
      </c>
      <c r="F19" s="16" t="inlineStr">
        <is>
          <t xml:space="preserve">Alta</t>
        </is>
      </c>
      <c r="G19" s="6" t="inlineStr">
        <is>
          <t xml:space="preserve">Ejecución MA(2) guardada sobre la serie A</t>
        </is>
      </c>
      <c r="H19" s="6" t="inlineStr">
        <is>
          <t xml:space="preserve">Corregir el periodo 2 de 120 a 125</t>
        </is>
      </c>
      <c r="I19" s="6" t="inlineStr">
        <is>
          <t xml:space="preserve">Consultar la ejecución anterior</t>
        </is>
      </c>
      <c r="J19" s="6" t="inlineStr">
        <is>
          <t xml:space="preserve">Conserva las entradas originales (120), la ventana, el autor y la fecha; un fallo al guardar no deja resultados parciales</t>
        </is>
      </c>
      <c r="K19" s="9" t="inlineStr">
        <is>
          <t xml:space="preserve">N/A</t>
        </is>
      </c>
      <c r="L19" s="16" t="inlineStr">
        <is>
          <t xml:space="preserve">No ejecutable: el servidor responde 501 Not Implemented (función pendiente de reglas de Industrial)</t>
        </is>
      </c>
      <c r="M19" s="16" t="inlineStr">
        <is>
          <t xml:space="preserve">BLOQUEADO</t>
        </is>
      </c>
      <c r="N19" s="16"/>
      <c r="O19" s="16"/>
      <c r="P19" s="16"/>
    </row>
    <row r="20" x14ac:dyDescent="0.2" ht="58" customHeight="1">
      <c r="A20" s="16" t="inlineStr">
        <is>
          <t xml:space="preserve">CP-016</t>
        </is>
      </c>
      <c r="B20" s="16" t="inlineStr">
        <is>
          <t xml:space="preserve">RF-01</t>
        </is>
      </c>
      <c r="C20" s="10">
        <f>IF(B20="","",IFERROR(INDEX(Requisitos!$C$5:$C$60,MATCH(B20,Requisitos!$A$5:$A$60,0)),"¿Requisito no existe?"))</f>
      </c>
      <c r="D20" s="6" t="inlineStr">
        <is>
          <t xml:space="preserve">Integración</t>
        </is>
      </c>
      <c r="E20" s="6" t="inlineStr">
        <is>
          <t xml:space="preserve">Partición de equivalencia</t>
        </is>
      </c>
      <c r="F20" s="16" t="inlineStr">
        <is>
          <t xml:space="preserve">Alta</t>
        </is>
      </c>
      <c r="G20" s="6" t="inlineStr">
        <is>
          <t xml:space="preserve">Cuenta planeador activa</t>
        </is>
      </c>
      <c r="H20" s="6" t="inlineStr">
        <is>
          <t xml:space="preserve">Usuario planeador y clave válida</t>
        </is>
      </c>
      <c r="I20" s="6" t="inlineStr">
        <is>
          <t xml:space="preserve">GET /auth/csrf; POST /auth/login; GET /auth/me</t>
        </is>
      </c>
      <c r="J20" s="6" t="inlineStr">
        <is>
          <t xml:space="preserve">200 con rol PLANNER y sus permisos; /me devuelve la misma sesión</t>
        </is>
      </c>
      <c r="K20" s="9" t="inlineStr">
        <is>
          <t xml:space="preserve">N/A</t>
        </is>
      </c>
      <c r="L20" s="16" t="inlineStr">
        <is>
          <t xml:space="preserve">200, rol PLANNER y permisos del rol</t>
        </is>
      </c>
      <c r="M20" s="16" t="inlineStr">
        <is>
          <t xml:space="preserve">APROBADO</t>
        </is>
      </c>
      <c r="N20" s="16"/>
      <c r="O20" s="16" t="inlineStr">
        <is>
          <t xml:space="preserve">Automatizado (mvnw test) + script API</t>
        </is>
      </c>
      <c r="P20" s="16" t="inlineStr">
        <is>
          <t xml:space="preserve">22/10/2026</t>
        </is>
      </c>
    </row>
    <row r="21" x14ac:dyDescent="0.2" ht="58" customHeight="1">
      <c r="A21" s="16" t="inlineStr">
        <is>
          <t xml:space="preserve">CP-017</t>
        </is>
      </c>
      <c r="B21" s="16" t="inlineStr">
        <is>
          <t xml:space="preserve">RF-01</t>
        </is>
      </c>
      <c r="C21" s="10">
        <f>IF(B21="","",IFERROR(INDEX(Requisitos!$C$5:$C$60,MATCH(B21,Requisitos!$A$5:$A$60,0)),"¿Requisito no existe?"))</f>
      </c>
      <c r="D21" s="6" t="inlineStr">
        <is>
          <t xml:space="preserve">Integración</t>
        </is>
      </c>
      <c r="E21" s="6" t="inlineStr">
        <is>
          <t xml:space="preserve">Partición de equivalencia</t>
        </is>
      </c>
      <c r="F21" s="16" t="inlineStr">
        <is>
          <t xml:space="preserve">Alta</t>
        </is>
      </c>
      <c r="G21" s="6" t="inlineStr">
        <is>
          <t xml:space="preserve">Ninguna</t>
        </is>
      </c>
      <c r="H21" s="6" t="inlineStr">
        <is>
          <t xml:space="preserve">Clave errónea; usuario inexistente</t>
        </is>
      </c>
      <c r="I21" s="6" t="inlineStr">
        <is>
          <t xml:space="preserve">POST /auth/login con cada combinación</t>
        </is>
      </c>
      <c r="J21" s="6" t="inlineStr">
        <is>
          <t xml:space="preserve">401 invalid-credentials con el mismo mensaje en ambos casos</t>
        </is>
      </c>
      <c r="K21" s="9" t="inlineStr">
        <is>
          <t xml:space="preserve">N/A</t>
        </is>
      </c>
      <c r="L21" s="16" t="inlineStr">
        <is>
          <t xml:space="preserve">401 y mensaje idéntico en ambos casos</t>
        </is>
      </c>
      <c r="M21" s="16" t="inlineStr">
        <is>
          <t xml:space="preserve">APROBADO</t>
        </is>
      </c>
      <c r="N21" s="16"/>
      <c r="O21" s="16" t="inlineStr">
        <is>
          <t xml:space="preserve">Automatizado (mvnw test) + script API</t>
        </is>
      </c>
      <c r="P21" s="16" t="inlineStr">
        <is>
          <t xml:space="preserve">22/10/2026</t>
        </is>
      </c>
    </row>
    <row r="22" x14ac:dyDescent="0.2" ht="58" customHeight="1">
      <c r="A22" s="16" t="inlineStr">
        <is>
          <t xml:space="preserve">CP-018</t>
        </is>
      </c>
      <c r="B22" s="16" t="inlineStr">
        <is>
          <t xml:space="preserve">RF-01</t>
        </is>
      </c>
      <c r="C22" s="10">
        <f>IF(B22="","",IFERROR(INDEX(Requisitos!$C$5:$C$60,MATCH(B22,Requisitos!$A$5:$A$60,0)),"¿Requisito no existe?"))</f>
      </c>
      <c r="D22" s="6" t="inlineStr">
        <is>
          <t xml:space="preserve">Integración</t>
        </is>
      </c>
      <c r="E22" s="6" t="inlineStr">
        <is>
          <t xml:space="preserve">Transición de estados</t>
        </is>
      </c>
      <c r="F22" s="16" t="inlineStr">
        <is>
          <t xml:space="preserve">Alta</t>
        </is>
      </c>
      <c r="G22" s="6" t="inlineStr">
        <is>
          <t xml:space="preserve">Cuenta desactivada por el administrador</t>
        </is>
      </c>
      <c r="H22" s="6" t="inlineStr">
        <is>
          <t xml:space="preserve">Credenciales correctas de la cuenta inactiva</t>
        </is>
      </c>
      <c r="I22" s="6" t="inlineStr">
        <is>
          <t xml:space="preserve">POST /auth/login</t>
        </is>
      </c>
      <c r="J22" s="6" t="inlineStr">
        <is>
          <t xml:space="preserve">401 con el mismo mensaje genérico</t>
        </is>
      </c>
      <c r="K22" s="9" t="inlineStr">
        <is>
          <t xml:space="preserve">N/A</t>
        </is>
      </c>
      <c r="L22" s="16" t="inlineStr">
        <is>
          <t xml:space="preserve">401 con mensaje genérico</t>
        </is>
      </c>
      <c r="M22" s="16" t="inlineStr">
        <is>
          <t xml:space="preserve">APROBADO</t>
        </is>
      </c>
      <c r="N22" s="16"/>
      <c r="O22" s="16" t="inlineStr">
        <is>
          <t xml:space="preserve">Automatizado (mvnw test)</t>
        </is>
      </c>
      <c r="P22" s="16" t="inlineStr">
        <is>
          <t xml:space="preserve">22/10/2026</t>
        </is>
      </c>
    </row>
    <row r="23" x14ac:dyDescent="0.2" ht="58" customHeight="1">
      <c r="A23" s="16" t="inlineStr">
        <is>
          <t xml:space="preserve">CP-019</t>
        </is>
      </c>
      <c r="B23" s="16" t="inlineStr">
        <is>
          <t xml:space="preserve">RF-01</t>
        </is>
      </c>
      <c r="C23" s="10">
        <f>IF(B23="","",IFERROR(INDEX(Requisitos!$C$5:$C$60,MATCH(B23,Requisitos!$A$5:$A$60,0)),"¿Requisito no existe?"))</f>
      </c>
      <c r="D23" s="6" t="inlineStr">
        <is>
          <t xml:space="preserve">Integración</t>
        </is>
      </c>
      <c r="E23" s="6" t="inlineStr">
        <is>
          <t xml:space="preserve">Transición de estados</t>
        </is>
      </c>
      <c r="F23" s="16" t="inlineStr">
        <is>
          <t xml:space="preserve">Alta</t>
        </is>
      </c>
      <c r="G23" s="6" t="inlineStr">
        <is>
          <t xml:space="preserve">Sesión iniciada</t>
        </is>
      </c>
      <c r="H23" s="6" t="inlineStr">
        <is>
          <t xml:space="preserve">Ninguno</t>
        </is>
      </c>
      <c r="I23" s="6" t="inlineStr">
        <is>
          <t xml:space="preserve">POST /auth/logout; GET /auth/me</t>
        </is>
      </c>
      <c r="J23" s="6" t="inlineStr">
        <is>
          <t xml:space="preserve">204 y luego 401: la sesión queda invalidada</t>
        </is>
      </c>
      <c r="K23" s="9" t="inlineStr">
        <is>
          <t xml:space="preserve">N/A</t>
        </is>
      </c>
      <c r="L23" s="16" t="inlineStr">
        <is>
          <t xml:space="preserve">204 y luego 401</t>
        </is>
      </c>
      <c r="M23" s="16" t="inlineStr">
        <is>
          <t xml:space="preserve">APROBADO</t>
        </is>
      </c>
      <c r="N23" s="16"/>
      <c r="O23" s="16" t="inlineStr">
        <is>
          <t xml:space="preserve">Automatizado (mvnw test) + script API</t>
        </is>
      </c>
      <c r="P23" s="16" t="inlineStr">
        <is>
          <t xml:space="preserve">22/10/2026</t>
        </is>
      </c>
    </row>
    <row r="24" x14ac:dyDescent="0.2" ht="58" customHeight="1">
      <c r="A24" s="16" t="inlineStr">
        <is>
          <t xml:space="preserve">CP-020</t>
        </is>
      </c>
      <c r="B24" s="16" t="inlineStr">
        <is>
          <t xml:space="preserve">RF-02</t>
        </is>
      </c>
      <c r="C24" s="10">
        <f>IF(B24="","",IFERROR(INDEX(Requisitos!$C$5:$C$60,MATCH(B24,Requisitos!$A$5:$A$60,0)),"¿Requisito no existe?"))</f>
      </c>
      <c r="D24" s="6" t="inlineStr">
        <is>
          <t xml:space="preserve">Integración</t>
        </is>
      </c>
      <c r="E24" s="6" t="inlineStr">
        <is>
          <t xml:space="preserve">Partición de equivalencia</t>
        </is>
      </c>
      <c r="F24" s="16" t="inlineStr">
        <is>
          <t xml:space="preserve">Alta</t>
        </is>
      </c>
      <c r="G24" s="6" t="inlineStr">
        <is>
          <t xml:space="preserve">Sesión como administrador</t>
        </is>
      </c>
      <c r="H24" s="6" t="inlineStr">
        <is>
          <t xml:space="preserve">Usuario nuevo, clave de 10 o más caracteres y un rol</t>
        </is>
      </c>
      <c r="I24" s="6" t="inlineStr">
        <is>
          <t xml:space="preserve">POST /admin/users; iniciar sesión con la cuenta nueva</t>
        </is>
      </c>
      <c r="J24" s="6" t="inlineStr">
        <is>
          <t xml:space="preserve">201 con cabecera Location; la cuenta inicia sesión con el rol asignado</t>
        </is>
      </c>
      <c r="K24" s="9" t="inlineStr">
        <is>
          <t xml:space="preserve">N/A</t>
        </is>
      </c>
      <c r="L24" s="16" t="inlineStr">
        <is>
          <t xml:space="preserve">201 y login con el rol asignado</t>
        </is>
      </c>
      <c r="M24" s="16" t="inlineStr">
        <is>
          <t xml:space="preserve">APROBADO</t>
        </is>
      </c>
      <c r="N24" s="16"/>
      <c r="O24" s="16" t="inlineStr">
        <is>
          <t xml:space="preserve">Automatizado (mvnw test)</t>
        </is>
      </c>
      <c r="P24" s="16" t="inlineStr">
        <is>
          <t xml:space="preserve">22/10/2026</t>
        </is>
      </c>
    </row>
    <row r="25" x14ac:dyDescent="0.2" ht="58" customHeight="1">
      <c r="A25" s="16" t="inlineStr">
        <is>
          <t xml:space="preserve">CP-021</t>
        </is>
      </c>
      <c r="B25" s="16" t="inlineStr">
        <is>
          <t xml:space="preserve">RF-02</t>
        </is>
      </c>
      <c r="C25" s="10">
        <f>IF(B25="","",IFERROR(INDEX(Requisitos!$C$5:$C$60,MATCH(B25,Requisitos!$A$5:$A$60,0)),"¿Requisito no existe?"))</f>
      </c>
      <c r="D25" s="6" t="inlineStr">
        <is>
          <t xml:space="preserve">Integración</t>
        </is>
      </c>
      <c r="E25" s="6" t="inlineStr">
        <is>
          <t xml:space="preserve">Valores límite</t>
        </is>
      </c>
      <c r="F25" s="16" t="inlineStr">
        <is>
          <t xml:space="preserve">Alta</t>
        </is>
      </c>
      <c r="G25" s="6" t="inlineStr">
        <is>
          <t xml:space="preserve">Sesión como administrador</t>
        </is>
      </c>
      <c r="H25" s="6" t="inlineStr">
        <is>
          <t xml:space="preserve">Su propio id</t>
        </is>
      </c>
      <c r="I25" s="6" t="inlineStr">
        <is>
          <t xml:space="preserve">PATCH /admin/users/{id}/status y /role sobre sí mismo</t>
        </is>
      </c>
      <c r="J25" s="6" t="inlineStr">
        <is>
          <t xml:space="preserve">422 business-rule; la cuenta sigue activa y con rol ADMIN</t>
        </is>
      </c>
      <c r="K25" s="9" t="inlineStr">
        <is>
          <t xml:space="preserve">N/A</t>
        </is>
      </c>
      <c r="L25" s="16" t="inlineStr">
        <is>
          <t xml:space="preserve">422 en ambos casos; sin cambios</t>
        </is>
      </c>
      <c r="M25" s="16" t="inlineStr">
        <is>
          <t xml:space="preserve">APROBADO</t>
        </is>
      </c>
      <c r="N25" s="16"/>
      <c r="O25" s="16" t="inlineStr">
        <is>
          <t xml:space="preserve">Automatizado (mvnw test)</t>
        </is>
      </c>
      <c r="P25" s="16" t="inlineStr">
        <is>
          <t xml:space="preserve">22/10/2026</t>
        </is>
      </c>
    </row>
    <row r="26" x14ac:dyDescent="0.2" ht="58" customHeight="1">
      <c r="A26" s="16" t="inlineStr">
        <is>
          <t xml:space="preserve">CP-022</t>
        </is>
      </c>
      <c r="B26" s="16" t="inlineStr">
        <is>
          <t xml:space="preserve">RF-02</t>
        </is>
      </c>
      <c r="C26" s="10">
        <f>IF(B26="","",IFERROR(INDEX(Requisitos!$C$5:$C$60,MATCH(B26,Requisitos!$A$5:$A$60,0)),"¿Requisito no existe?"))</f>
      </c>
      <c r="D26" s="6" t="inlineStr">
        <is>
          <t xml:space="preserve">Integración</t>
        </is>
      </c>
      <c r="E26" s="6" t="inlineStr">
        <is>
          <t xml:space="preserve">Transición de estados</t>
        </is>
      </c>
      <c r="F26" s="16" t="inlineStr">
        <is>
          <t xml:space="preserve">Alta</t>
        </is>
      </c>
      <c r="G26" s="6" t="inlineStr">
        <is>
          <t xml:space="preserve">Cuenta de analista con sesión abierta</t>
        </is>
      </c>
      <c r="H26" s="6" t="inlineStr">
        <is>
          <t xml:space="preserve">El administrador desactiva la cuenta</t>
        </is>
      </c>
      <c r="I26" s="6" t="inlineStr">
        <is>
          <t xml:space="preserve">Siguiente solicitud del analista</t>
        </is>
      </c>
      <c r="J26" s="6" t="inlineStr">
        <is>
          <t xml:space="preserve">401: la sesión abierta termina</t>
        </is>
      </c>
      <c r="K26" s="9" t="inlineStr">
        <is>
          <t xml:space="preserve">N/A</t>
        </is>
      </c>
      <c r="L26" s="16" t="inlineStr">
        <is>
          <t xml:space="preserve">401 en la siguiente solicitud</t>
        </is>
      </c>
      <c r="M26" s="16" t="inlineStr">
        <is>
          <t xml:space="preserve">APROBADO</t>
        </is>
      </c>
      <c r="N26" s="16"/>
      <c r="O26" s="16" t="inlineStr">
        <is>
          <t xml:space="preserve">Automatizado (mvnw test)</t>
        </is>
      </c>
      <c r="P26" s="16" t="inlineStr">
        <is>
          <t xml:space="preserve">22/10/2026</t>
        </is>
      </c>
    </row>
    <row r="27" x14ac:dyDescent="0.2" ht="58" customHeight="1">
      <c r="A27" s="16" t="inlineStr">
        <is>
          <t xml:space="preserve">CP-023</t>
        </is>
      </c>
      <c r="B27" s="16" t="inlineStr">
        <is>
          <t xml:space="preserve">RF-03</t>
        </is>
      </c>
      <c r="C27" s="10">
        <f>IF(B27="","",IFERROR(INDEX(Requisitos!$C$5:$C$60,MATCH(B27,Requisitos!$A$5:$A$60,0)),"¿Requisito no existe?"))</f>
      </c>
      <c r="D27" s="6" t="inlineStr">
        <is>
          <t xml:space="preserve">Integración</t>
        </is>
      </c>
      <c r="E27" s="6" t="inlineStr">
        <is>
          <t xml:space="preserve">Tabla de decisión</t>
        </is>
      </c>
      <c r="F27" s="16" t="inlineStr">
        <is>
          <t xml:space="preserve">Alta</t>
        </is>
      </c>
      <c r="G27" s="6" t="inlineStr">
        <is>
          <t xml:space="preserve">Una sesión por cada rol</t>
        </is>
      </c>
      <c r="H27" s="6" t="inlineStr">
        <is>
          <t xml:space="preserve">4 roles × 10 endpoints</t>
        </is>
      </c>
      <c r="I27" s="6" t="inlineStr">
        <is>
          <t xml:space="preserve">Invocar cada endpoint con cada rol</t>
        </is>
      </c>
      <c r="J27" s="6" t="inlineStr">
        <is>
          <t xml:space="preserve">Solo los roles de la matriz pasan (200 o 501 si la lógica está pendiente); el resto recibe 403 access-denied</t>
        </is>
      </c>
      <c r="K27" s="9" t="inlineStr">
        <is>
          <t xml:space="preserve">N/A</t>
        </is>
      </c>
      <c r="L27" s="16" t="inlineStr">
        <is>
          <t xml:space="preserve">40 combinaciones conformes a la matriz</t>
        </is>
      </c>
      <c r="M27" s="16" t="inlineStr">
        <is>
          <t xml:space="preserve">APROBADO</t>
        </is>
      </c>
      <c r="N27" s="16"/>
      <c r="O27" s="16" t="inlineStr">
        <is>
          <t xml:space="preserve">Automatizado (mvnw test) + script API</t>
        </is>
      </c>
      <c r="P27" s="16" t="inlineStr">
        <is>
          <t xml:space="preserve">22/10/2026</t>
        </is>
      </c>
    </row>
    <row r="28" x14ac:dyDescent="0.2" ht="58" customHeight="1">
      <c r="A28" s="16" t="inlineStr">
        <is>
          <t xml:space="preserve">CP-024</t>
        </is>
      </c>
      <c r="B28" s="16" t="inlineStr">
        <is>
          <t xml:space="preserve">RF-03</t>
        </is>
      </c>
      <c r="C28" s="10">
        <f>IF(B28="","",IFERROR(INDEX(Requisitos!$C$5:$C$60,MATCH(B28,Requisitos!$A$5:$A$60,0)),"¿Requisito no existe?"))</f>
      </c>
      <c r="D28" s="6" t="inlineStr">
        <is>
          <t xml:space="preserve">Integración</t>
        </is>
      </c>
      <c r="E28" s="6" t="inlineStr">
        <is>
          <t xml:space="preserve">Tabla de decisión</t>
        </is>
      </c>
      <c r="F28" s="16" t="inlineStr">
        <is>
          <t xml:space="preserve">Alta</t>
        </is>
      </c>
      <c r="G28" s="6" t="inlineStr">
        <is>
          <t xml:space="preserve">Sesión como administrador</t>
        </is>
      </c>
      <c r="H28" s="6" t="inlineStr">
        <is>
          <t xml:space="preserve">GET /history/products</t>
        </is>
      </c>
      <c r="I28" s="6" t="inlineStr">
        <is>
          <t xml:space="preserve">Consultar históricos con el administrador</t>
        </is>
      </c>
      <c r="J28" s="6" t="inlineStr">
        <is>
          <t xml:space="preserve">403: el administrador no hereda permisos de negocio</t>
        </is>
      </c>
      <c r="K28" s="9" t="inlineStr">
        <is>
          <t xml:space="preserve">N/A</t>
        </is>
      </c>
      <c r="L28" s="16" t="inlineStr">
        <is>
          <t xml:space="preserve">403 access-denied</t>
        </is>
      </c>
      <c r="M28" s="16" t="inlineStr">
        <is>
          <t xml:space="preserve">APROBADO</t>
        </is>
      </c>
      <c r="N28" s="16"/>
      <c r="O28" s="16" t="inlineStr">
        <is>
          <t xml:space="preserve">Automatizado (mvnw test) + script API</t>
        </is>
      </c>
      <c r="P28" s="16" t="inlineStr">
        <is>
          <t xml:space="preserve">22/10/2026</t>
        </is>
      </c>
    </row>
    <row r="29" x14ac:dyDescent="0.2" ht="58" customHeight="1">
      <c r="A29" s="16" t="inlineStr">
        <is>
          <t xml:space="preserve">CP-025</t>
        </is>
      </c>
      <c r="B29" s="16" t="inlineStr">
        <is>
          <t xml:space="preserve">RF-03</t>
        </is>
      </c>
      <c r="C29" s="10">
        <f>IF(B29="","",IFERROR(INDEX(Requisitos!$C$5:$C$60,MATCH(B29,Requisitos!$A$5:$A$60,0)),"¿Requisito no existe?"))</f>
      </c>
      <c r="D29" s="6" t="inlineStr">
        <is>
          <t xml:space="preserve">Integración</t>
        </is>
      </c>
      <c r="E29" s="6" t="inlineStr">
        <is>
          <t xml:space="preserve">Tabla de decisión</t>
        </is>
      </c>
      <c r="F29" s="16" t="inlineStr">
        <is>
          <t xml:space="preserve">Alta</t>
        </is>
      </c>
      <c r="G29" s="6" t="inlineStr">
        <is>
          <t xml:space="preserve">Sesión como supervisor de línea</t>
        </is>
      </c>
      <c r="H29" s="6" t="inlineStr">
        <is>
          <t xml:space="preserve">POST /forecasts</t>
        </is>
      </c>
      <c r="I29" s="6" t="inlineStr">
        <is>
          <t xml:space="preserve">Intentar ejecutar un pronóstico</t>
        </is>
      </c>
      <c r="J29" s="6" t="inlineStr">
        <is>
          <t xml:space="preserve">403 access-denied</t>
        </is>
      </c>
      <c r="K29" s="9" t="inlineStr">
        <is>
          <t xml:space="preserve">N/A</t>
        </is>
      </c>
      <c r="L29" s="16" t="inlineStr">
        <is>
          <t xml:space="preserve">403 access-denied</t>
        </is>
      </c>
      <c r="M29" s="16" t="inlineStr">
        <is>
          <t xml:space="preserve">APROBADO</t>
        </is>
      </c>
      <c r="N29" s="16"/>
      <c r="O29" s="16" t="inlineStr">
        <is>
          <t xml:space="preserve">Automatizado (mvnw test) + script API</t>
        </is>
      </c>
      <c r="P29" s="16" t="inlineStr">
        <is>
          <t xml:space="preserve">22/10/2026</t>
        </is>
      </c>
    </row>
    <row r="30" x14ac:dyDescent="0.2" ht="58" customHeight="1">
      <c r="A30" s="16" t="inlineStr">
        <is>
          <t xml:space="preserve">CP-026</t>
        </is>
      </c>
      <c r="B30" s="16" t="inlineStr">
        <is>
          <t xml:space="preserve">RF-04</t>
        </is>
      </c>
      <c r="C30" s="10">
        <f>IF(B30="","",IFERROR(INDEX(Requisitos!$C$5:$C$60,MATCH(B30,Requisitos!$A$5:$A$60,0)),"¿Requisito no existe?"))</f>
      </c>
      <c r="D30" s="6" t="inlineStr">
        <is>
          <t xml:space="preserve">Integración</t>
        </is>
      </c>
      <c r="E30" s="6" t="inlineStr">
        <is>
          <t xml:space="preserve">Basada en riesgo</t>
        </is>
      </c>
      <c r="F30" s="16" t="inlineStr">
        <is>
          <t xml:space="preserve">Media</t>
        </is>
      </c>
      <c r="G30" s="6" t="inlineStr">
        <is>
          <t xml:space="preserve">CP-017, CP-025 y CP-028 ejecutados</t>
        </is>
      </c>
      <c r="H30" s="6" t="inlineStr">
        <is>
          <t xml:space="preserve">Tabla evento</t>
        </is>
      </c>
      <c r="I30" s="6" t="inlineStr">
        <is>
          <t xml:space="preserve">Consultar los eventos registrados</t>
        </is>
      </c>
      <c r="J30" s="6" t="inlineStr">
        <is>
          <t xml:space="preserve">Hay LOGIN FAILURE, ACCESS_DENIED y CSRF_REJECTED; ninguna fila guarda contraseñas ni tokens</t>
        </is>
      </c>
      <c r="K30" s="9" t="inlineStr">
        <is>
          <t xml:space="preserve">N/A</t>
        </is>
      </c>
      <c r="L30" s="16" t="inlineStr">
        <is>
          <t xml:space="preserve">Eventos presentes; la tabla no tiene columnas de secretos</t>
        </is>
      </c>
      <c r="M30" s="16" t="inlineStr">
        <is>
          <t xml:space="preserve">APROBADO</t>
        </is>
      </c>
      <c r="N30" s="16"/>
      <c r="O30" s="16" t="inlineStr">
        <is>
          <t xml:space="preserve">Automatizado (mvnw test) + script API</t>
        </is>
      </c>
      <c r="P30" s="16" t="inlineStr">
        <is>
          <t xml:space="preserve">22/10/2026</t>
        </is>
      </c>
    </row>
    <row r="31" x14ac:dyDescent="0.2" ht="58" customHeight="1">
      <c r="A31" s="16" t="inlineStr">
        <is>
          <t xml:space="preserve">CP-027</t>
        </is>
      </c>
      <c r="B31" s="16" t="inlineStr">
        <is>
          <t xml:space="preserve">RNF-01</t>
        </is>
      </c>
      <c r="C31" s="10">
        <f>IF(B31="","",IFERROR(INDEX(Requisitos!$C$5:$C$60,MATCH(B31,Requisitos!$A$5:$A$60,0)),"¿Requisito no existe?"))</f>
      </c>
      <c r="D31" s="6" t="inlineStr">
        <is>
          <t xml:space="preserve">Seguridad</t>
        </is>
      </c>
      <c r="E31" s="6" t="inlineStr">
        <is>
          <t xml:space="preserve">Tabla de decisión</t>
        </is>
      </c>
      <c r="F31" s="16" t="inlineStr">
        <is>
          <t xml:space="preserve">Alta</t>
        </is>
      </c>
      <c r="G31" s="6" t="inlineStr">
        <is>
          <t xml:space="preserve">Sin sesión</t>
        </is>
      </c>
      <c r="H31" s="6" t="inlineStr">
        <is>
          <t xml:space="preserve">10 endpoints protegidos y una ruta sin versión</t>
        </is>
      </c>
      <c r="I31" s="6" t="inlineStr">
        <is>
          <t xml:space="preserve">Invocar cada uno sin cookie de sesión</t>
        </is>
      </c>
      <c r="J31" s="6" t="inlineStr">
        <is>
          <t xml:space="preserve">401 authentication-required en todos</t>
        </is>
      </c>
      <c r="K31" s="9" t="inlineStr">
        <is>
          <t xml:space="preserve">N/A</t>
        </is>
      </c>
      <c r="L31" s="16" t="inlineStr">
        <is>
          <t xml:space="preserve">401 en todos</t>
        </is>
      </c>
      <c r="M31" s="16" t="inlineStr">
        <is>
          <t xml:space="preserve">APROBADO</t>
        </is>
      </c>
      <c r="N31" s="16"/>
      <c r="O31" s="16" t="inlineStr">
        <is>
          <t xml:space="preserve">Automatizado (mvnw test) + script API</t>
        </is>
      </c>
      <c r="P31" s="16" t="inlineStr">
        <is>
          <t xml:space="preserve">22/10/2026</t>
        </is>
      </c>
    </row>
    <row r="32" x14ac:dyDescent="0.2" ht="58" customHeight="1">
      <c r="A32" s="16" t="inlineStr">
        <is>
          <t xml:space="preserve">CP-028</t>
        </is>
      </c>
      <c r="B32" s="16" t="inlineStr">
        <is>
          <t xml:space="preserve">RNF-01</t>
        </is>
      </c>
      <c r="C32" s="10">
        <f>IF(B32="","",IFERROR(INDEX(Requisitos!$C$5:$C$60,MATCH(B32,Requisitos!$A$5:$A$60,0)),"¿Requisito no existe?"))</f>
      </c>
      <c r="D32" s="6" t="inlineStr">
        <is>
          <t xml:space="preserve">Seguridad</t>
        </is>
      </c>
      <c r="E32" s="6" t="inlineStr">
        <is>
          <t xml:space="preserve">Partición de equivalencia</t>
        </is>
      </c>
      <c r="F32" s="16" t="inlineStr">
        <is>
          <t xml:space="preserve">Alta</t>
        </is>
      </c>
      <c r="G32" s="6" t="inlineStr">
        <is>
          <t xml:space="preserve">Cookie XSRF-TOKEN emitida</t>
        </is>
      </c>
      <c r="H32" s="6" t="inlineStr">
        <is>
          <t xml:space="preserve">Solicitud sin cabecera X-XSRF-TOKEN y con un valor distinto</t>
        </is>
      </c>
      <c r="I32" s="6" t="inlineStr">
        <is>
          <t xml:space="preserve">POST /auth/login</t>
        </is>
      </c>
      <c r="J32" s="6" t="inlineStr">
        <is>
          <t xml:space="preserve">403 csrf-invalid; se audita como CSRF_REJECTED</t>
        </is>
      </c>
      <c r="K32" s="9" t="inlineStr">
        <is>
          <t xml:space="preserve">N/A</t>
        </is>
      </c>
      <c r="L32" s="16" t="inlineStr">
        <is>
          <t xml:space="preserve">403 csrf-invalid y evento CSRF_REJECTED</t>
        </is>
      </c>
      <c r="M32" s="16" t="inlineStr">
        <is>
          <t xml:space="preserve">APROBADO</t>
        </is>
      </c>
      <c r="N32" s="16"/>
      <c r="O32" s="16" t="inlineStr">
        <is>
          <t xml:space="preserve">Automatizado (mvnw test) + script API</t>
        </is>
      </c>
      <c r="P32" s="16" t="inlineStr">
        <is>
          <t xml:space="preserve">22/10/2026</t>
        </is>
      </c>
    </row>
    <row r="33" x14ac:dyDescent="0.2" ht="58" customHeight="1">
      <c r="A33" s="16" t="inlineStr">
        <is>
          <t xml:space="preserve">CP-029</t>
        </is>
      </c>
      <c r="B33" s="16" t="inlineStr">
        <is>
          <t xml:space="preserve">RNF-02</t>
        </is>
      </c>
      <c r="C33" s="10">
        <f>IF(B33="","",IFERROR(INDEX(Requisitos!$C$5:$C$60,MATCH(B33,Requisitos!$A$5:$A$60,0)),"¿Requisito no existe?"))</f>
      </c>
      <c r="D33" s="6" t="inlineStr">
        <is>
          <t xml:space="preserve">Seguridad</t>
        </is>
      </c>
      <c r="E33" s="6" t="inlineStr">
        <is>
          <t xml:space="preserve">Caja blanca</t>
        </is>
      </c>
      <c r="F33" s="16" t="inlineStr">
        <is>
          <t xml:space="preserve">Alta</t>
        </is>
      </c>
      <c r="G33" s="6" t="inlineStr">
        <is>
          <t xml:space="preserve">Cuentas creadas</t>
        </is>
      </c>
      <c r="H33" s="6" t="inlineStr">
        <is>
          <t xml:space="preserve">Columna usuario.password_hash</t>
        </is>
      </c>
      <c r="I33" s="6" t="inlineStr">
        <is>
          <t xml:space="preserve">Consultar el hash de cada cuenta</t>
        </is>
      </c>
      <c r="J33" s="6" t="inlineStr">
        <is>
          <t xml:space="preserve">Todas con prefijo {bcrypt}; ninguna en texto plano</t>
        </is>
      </c>
      <c r="K33" s="9" t="inlineStr">
        <is>
          <t xml:space="preserve">N/A</t>
        </is>
      </c>
      <c r="L33" s="16" t="inlineStr">
        <is>
          <t xml:space="preserve">7 de 7 cuentas con {bcrypt}</t>
        </is>
      </c>
      <c r="M33" s="16" t="inlineStr">
        <is>
          <t xml:space="preserve">APROBADO</t>
        </is>
      </c>
      <c r="N33" s="16"/>
      <c r="O33" s="16" t="inlineStr">
        <is>
          <t xml:space="preserve">Automatizado (mvnw test) + script API</t>
        </is>
      </c>
      <c r="P33" s="16" t="inlineStr">
        <is>
          <t xml:space="preserve">22/10/2026</t>
        </is>
      </c>
    </row>
    <row r="34" x14ac:dyDescent="0.2" ht="58" customHeight="1">
      <c r="A34" s="16" t="inlineStr">
        <is>
          <t xml:space="preserve">CP-030</t>
        </is>
      </c>
      <c r="B34" s="16" t="inlineStr">
        <is>
          <t xml:space="preserve">RNF-04</t>
        </is>
      </c>
      <c r="C34" s="10">
        <f>IF(B34="","",IFERROR(INDEX(Requisitos!$C$5:$C$60,MATCH(B34,Requisitos!$A$5:$A$60,0)),"¿Requisito no existe?"))</f>
      </c>
      <c r="D34" s="6" t="inlineStr">
        <is>
          <t xml:space="preserve">Integración</t>
        </is>
      </c>
      <c r="E34" s="6" t="inlineStr">
        <is>
          <t xml:space="preserve">Partición de equivalencia</t>
        </is>
      </c>
      <c r="F34" s="16" t="inlineStr">
        <is>
          <t xml:space="preserve">Media</t>
        </is>
      </c>
      <c r="G34" s="6" t="inlineStr">
        <is>
          <t xml:space="preserve">Ninguna</t>
        </is>
      </c>
      <c r="H34" s="6" t="inlineStr">
        <is>
          <t xml:space="preserve">JSON malformado; usuario de 51 caracteres; id no numérico</t>
        </is>
      </c>
      <c r="I34" s="6" t="inlineStr">
        <is>
          <t xml:space="preserve">POST /auth/login; PATCH /admin/users/abc/status</t>
        </is>
      </c>
      <c r="J34" s="6" t="inlineStr">
        <is>
          <t xml:space="preserve">400 problem+json con code malformed-request, validation o invalid-parameter y mensaje en español</t>
        </is>
      </c>
      <c r="K34" s="9" t="inlineStr">
        <is>
          <t xml:space="preserve">N/A</t>
        </is>
      </c>
      <c r="L34" s="16" t="inlineStr">
        <is>
          <t xml:space="preserve">400 con el código y mensaje esperados</t>
        </is>
      </c>
      <c r="M34" s="16" t="inlineStr">
        <is>
          <t xml:space="preserve">APROBADO</t>
        </is>
      </c>
      <c r="N34" s="16"/>
      <c r="O34" s="16" t="inlineStr">
        <is>
          <t xml:space="preserve">Automatizado (mvnw test) + script API</t>
        </is>
      </c>
      <c r="P34" s="16" t="inlineStr">
        <is>
          <t xml:space="preserve">22/10/2026</t>
        </is>
      </c>
    </row>
    <row r="35" x14ac:dyDescent="0.2" ht="58" customHeight="1">
      <c r="A35" s="16" t="inlineStr">
        <is>
          <t xml:space="preserve">CP-031</t>
        </is>
      </c>
      <c r="B35" s="16" t="inlineStr">
        <is>
          <t xml:space="preserve">RF-05</t>
        </is>
      </c>
      <c r="C35" s="10">
        <f>IF(B35="","",IFERROR(INDEX(Requisitos!$C$5:$C$60,MATCH(B35,Requisitos!$A$5:$A$60,0)),"¿Requisito no existe?"))</f>
      </c>
      <c r="D35" s="6" t="inlineStr">
        <is>
          <t xml:space="preserve">Integración</t>
        </is>
      </c>
      <c r="E35" s="6" t="inlineStr">
        <is>
          <t xml:space="preserve">Partición de equivalencia</t>
        </is>
      </c>
      <c r="F35" s="16" t="inlineStr">
        <is>
          <t xml:space="preserve">Alta</t>
        </is>
      </c>
      <c r="G35" s="6" t="inlineStr">
        <is>
          <t xml:space="preserve">Sesión como planeador; productos cargados</t>
        </is>
      </c>
      <c r="H35" s="6" t="inlineStr">
        <is>
          <t xml:space="preserve">GET /history/products y /history/series/{id}/observations</t>
        </is>
      </c>
      <c r="I35" s="6" t="inlineStr">
        <is>
          <t xml:space="preserve">Consultar productos y la serie</t>
        </is>
      </c>
      <c r="J35" s="6" t="inlineStr">
        <is>
          <t xml:space="preserve">200 con los productos y las observaciones ordenadas por periodo</t>
        </is>
      </c>
      <c r="K35" s="9" t="inlineStr">
        <is>
          <t xml:space="preserve">N/A</t>
        </is>
      </c>
      <c r="L35" s="16" t="inlineStr">
        <is>
          <t xml:space="preserve">No ejecutable: el servidor responde 501 Not Implemented (función pendiente de reglas de Industrial)</t>
        </is>
      </c>
      <c r="M35" s="16" t="inlineStr">
        <is>
          <t xml:space="preserve">BLOQUEADO</t>
        </is>
      </c>
      <c r="N35" s="16"/>
      <c r="O35" s="16" t="inlineStr">
        <is>
          <t xml:space="preserve">Script API</t>
        </is>
      </c>
      <c r="P35" s="16" t="inlineStr">
        <is>
          <t xml:space="preserve">22/10/2026</t>
        </is>
      </c>
    </row>
    <row r="36" x14ac:dyDescent="0.2" ht="58" customHeight="1">
      <c r="A36" s="16" t="inlineStr">
        <is>
          <t xml:space="preserve">CP-032</t>
        </is>
      </c>
      <c r="B36" s="16" t="inlineStr">
        <is>
          <t xml:space="preserve">RF-09</t>
        </is>
      </c>
      <c r="C36" s="10">
        <f>IF(B36="","",IFERROR(INDEX(Requisitos!$C$5:$C$60,MATCH(B36,Requisitos!$A$5:$A$60,0)),"¿Requisito no existe?"))</f>
      </c>
      <c r="D36" s="6" t="inlineStr">
        <is>
          <t xml:space="preserve">Integración</t>
        </is>
      </c>
      <c r="E36" s="6" t="inlineStr">
        <is>
          <t xml:space="preserve">Partición de equivalencia</t>
        </is>
      </c>
      <c r="F36" s="16" t="inlineStr">
        <is>
          <t xml:space="preserve">Media</t>
        </is>
      </c>
      <c r="G36" s="6" t="inlineStr">
        <is>
          <t xml:space="preserve">Ejecución de CP-001 guardada</t>
        </is>
      </c>
      <c r="H36" s="6" t="inlineStr">
        <is>
          <t xml:space="preserve">GET /forecasts y /forecasts/{id}</t>
        </is>
      </c>
      <c r="I36" s="6" t="inlineStr">
        <is>
          <t xml:space="preserve">Consultar la lista y el detalle</t>
        </is>
      </c>
      <c r="J36" s="6" t="inlineStr">
        <is>
          <t xml:space="preserve">Lista y detalle con método, ventana, autor, fecha, entradas y resultados</t>
        </is>
      </c>
      <c r="K36" s="9" t="inlineStr">
        <is>
          <t xml:space="preserve">N/A</t>
        </is>
      </c>
      <c r="L36" s="16" t="inlineStr">
        <is>
          <t xml:space="preserve">No ejecutable: el servidor responde 501 Not Implemented (función pendiente de reglas de Industrial)</t>
        </is>
      </c>
      <c r="M36" s="16" t="inlineStr">
        <is>
          <t xml:space="preserve">BLOQUEADO</t>
        </is>
      </c>
      <c r="N36" s="16"/>
      <c r="O36" s="16" t="inlineStr">
        <is>
          <t xml:space="preserve">Script API</t>
        </is>
      </c>
      <c r="P36" s="16" t="inlineStr">
        <is>
          <t xml:space="preserve">22/10/2026</t>
        </is>
      </c>
    </row>
    <row r="37" x14ac:dyDescent="0.2" ht="58" customHeight="1">
      <c r="A37" s="16" t="inlineStr">
        <is>
          <t xml:space="preserve">CP-033</t>
        </is>
      </c>
      <c r="B37" s="16" t="inlineStr">
        <is>
          <t xml:space="preserve">RNF-03</t>
        </is>
      </c>
      <c r="C37" s="10">
        <f>IF(B37="","",IFERROR(INDEX(Requisitos!$C$5:$C$60,MATCH(B37,Requisitos!$A$5:$A$60,0)),"¿Requisito no existe?"))</f>
      </c>
      <c r="D37" s="6" t="inlineStr">
        <is>
          <t xml:space="preserve">Rendimiento</t>
        </is>
      </c>
      <c r="E37" s="6" t="inlineStr">
        <is>
          <t xml:space="preserve">Basada en riesgo</t>
        </is>
      </c>
      <c r="F37" s="16" t="inlineStr">
        <is>
          <t xml:space="preserve">Media</t>
        </is>
      </c>
      <c r="G37" s="6" t="inlineStr">
        <is>
          <t xml:space="preserve">Base con 1.000 observaciones</t>
        </is>
      </c>
      <c r="H37" s="6" t="inlineStr">
        <is>
          <t xml:space="preserve">5 usuarios virtuales durante 5 minutos (k6)</t>
        </is>
      </c>
      <c r="I37" s="6" t="inlineStr">
        <is>
          <t xml:space="preserve">Consultar series y ejecutar pronósticos</t>
        </is>
      </c>
      <c r="J37" s="6" t="inlineStr">
        <is>
          <t xml:space="preserve">Percentil 95 ≤ 2 s, sin contar cargas de archivos</t>
        </is>
      </c>
      <c r="K37" s="9" t="inlineStr">
        <is>
          <t xml:space="preserve">N/A</t>
        </is>
      </c>
      <c r="L37" s="16" t="inlineStr">
        <is>
          <t xml:space="preserve">Programado para el corte 3</t>
        </is>
      </c>
      <c r="M37" s="16" t="inlineStr">
        <is>
          <t xml:space="preserve">PENDIENTE</t>
        </is>
      </c>
      <c r="N37" s="16"/>
      <c r="O37" s="16"/>
      <c r="P37" s="16"/>
    </row>
    <row r="38" x14ac:dyDescent="0.2" ht="58" customHeight="1">
      <c r="A38" s="16" t="inlineStr">
        <is>
          <t xml:space="preserve">CP-034</t>
        </is>
      </c>
      <c r="B38" s="16" t="inlineStr">
        <is>
          <t xml:space="preserve">RNF-05</t>
        </is>
      </c>
      <c r="C38" s="10">
        <f>IF(B38="","",IFERROR(INDEX(Requisitos!$C$5:$C$60,MATCH(B38,Requisitos!$A$5:$A$60,0)),"¿Requisito no existe?"))</f>
      </c>
      <c r="D38" s="6" t="inlineStr">
        <is>
          <t xml:space="preserve">Usabilidad</t>
        </is>
      </c>
      <c r="E38" s="6" t="inlineStr">
        <is>
          <t xml:space="preserve">Exploratoria</t>
        </is>
      </c>
      <c r="F38" s="16" t="inlineStr">
        <is>
          <t xml:space="preserve">Media</t>
        </is>
      </c>
      <c r="G38" s="6" t="inlineStr">
        <is>
          <t xml:space="preserve">Frontend con históricos y pronóstico</t>
        </is>
      </c>
      <c r="H38" s="6" t="inlineStr">
        <is>
          <t xml:space="preserve">Tareas: consultar una serie y ejecutar un pronóstico</t>
        </is>
      </c>
      <c r="I38" s="6" t="inlineStr">
        <is>
          <t xml:space="preserve">Estudiantes de Industrial realizan las tareas</t>
        </is>
      </c>
      <c r="J38" s="6" t="inlineStr">
        <is>
          <t xml:space="preserve">Las completan sin ayuda; identifican producto, periodo y unidad y distinguen real de estimado</t>
        </is>
      </c>
      <c r="K38" s="9" t="inlineStr">
        <is>
          <t xml:space="preserve">N/A</t>
        </is>
      </c>
      <c r="L38" s="16" t="inlineStr">
        <is>
          <t xml:space="preserve">Programado para el corte 3</t>
        </is>
      </c>
      <c r="M38" s="16" t="inlineStr">
        <is>
          <t xml:space="preserve">PENDIENTE</t>
        </is>
      </c>
      <c r="N38" s="16"/>
      <c r="O38" s="16"/>
      <c r="P38" s="16"/>
    </row>
    <row r="39" x14ac:dyDescent="0.2">
      <c r="A39" s="6"/>
      <c r="B39" s="6"/>
      <c r="C39" s="10">
        <f>IF(B39="","",IFERROR(INDEX(Requisitos!$C$5:$C$60,MATCH(B39,Requisitos!$A$5:$A$60,0)),"¿Requisito no existe?"))</f>
      </c>
      <c r="D39" s="6"/>
      <c r="E39" s="6"/>
      <c r="F39" s="6"/>
      <c r="G39" s="6"/>
      <c r="H39" s="6"/>
      <c r="I39" s="6"/>
      <c r="J39" s="6"/>
      <c r="K39" s="6"/>
      <c r="L39" s="6"/>
      <c r="M39" s="16"/>
      <c r="N39" s="6"/>
      <c r="O39" s="6"/>
      <c r="P39" s="6"/>
    </row>
    <row r="40" x14ac:dyDescent="0.2">
      <c r="A40" s="6"/>
      <c r="B40" s="6"/>
      <c r="C40" s="10">
        <f>IF(B40="","",IFERROR(INDEX(Requisitos!$C$5:$C$60,MATCH(B40,Requisitos!$A$5:$A$60,0)),"¿Requisito no existe?"))</f>
      </c>
      <c r="D40" s="6"/>
      <c r="E40" s="6"/>
      <c r="F40" s="6"/>
      <c r="G40" s="6"/>
      <c r="H40" s="6"/>
      <c r="I40" s="6"/>
      <c r="J40" s="6"/>
      <c r="K40" s="6"/>
      <c r="L40" s="6"/>
      <c r="M40" s="16"/>
      <c r="N40" s="6"/>
      <c r="O40" s="6"/>
      <c r="P40" s="6"/>
    </row>
    <row r="41" x14ac:dyDescent="0.2">
      <c r="A41" s="6"/>
      <c r="B41" s="6"/>
      <c r="C41" s="10">
        <f>IF(B41="","",IFERROR(INDEX(Requisitos!$C$5:$C$60,MATCH(B41,Requisitos!$A$5:$A$60,0)),"¿Requisito no existe?"))</f>
      </c>
      <c r="D41" s="6"/>
      <c r="E41" s="6"/>
      <c r="F41" s="6"/>
      <c r="G41" s="6"/>
      <c r="H41" s="6"/>
      <c r="I41" s="6"/>
      <c r="J41" s="6"/>
      <c r="K41" s="6"/>
      <c r="L41" s="6"/>
      <c r="M41" s="16"/>
      <c r="N41" s="6"/>
      <c r="O41" s="6"/>
      <c r="P41" s="6"/>
    </row>
    <row r="42" x14ac:dyDescent="0.2">
      <c r="A42" s="6"/>
      <c r="B42" s="6"/>
      <c r="C42" s="10">
        <f>IF(B42="","",IFERROR(INDEX(Requisitos!$C$5:$C$60,MATCH(B42,Requisitos!$A$5:$A$60,0)),"¿Requisito no existe?"))</f>
      </c>
      <c r="D42" s="6"/>
      <c r="E42" s="6"/>
      <c r="F42" s="6"/>
      <c r="G42" s="6"/>
      <c r="H42" s="6"/>
      <c r="I42" s="6"/>
      <c r="J42" s="6"/>
      <c r="K42" s="6"/>
      <c r="L42" s="6"/>
      <c r="M42" s="16"/>
      <c r="N42" s="6"/>
      <c r="O42" s="6"/>
      <c r="P42" s="6"/>
    </row>
    <row r="43" x14ac:dyDescent="0.2">
      <c r="A43" s="6"/>
      <c r="B43" s="6"/>
      <c r="C43" s="10">
        <f>IF(B43="","",IFERROR(INDEX(Requisitos!$C$5:$C$60,MATCH(B43,Requisitos!$A$5:$A$60,0)),"¿Requisito no existe?"))</f>
      </c>
      <c r="D43" s="6"/>
      <c r="E43" s="6"/>
      <c r="F43" s="6"/>
      <c r="G43" s="6"/>
      <c r="H43" s="6"/>
      <c r="I43" s="6"/>
      <c r="J43" s="6"/>
      <c r="K43" s="6"/>
      <c r="L43" s="6"/>
      <c r="M43" s="16"/>
      <c r="N43" s="6"/>
      <c r="O43" s="6"/>
      <c r="P43" s="6"/>
    </row>
    <row r="44" x14ac:dyDescent="0.2">
      <c r="A44" s="6"/>
      <c r="B44" s="6"/>
      <c r="C44" s="10">
        <f>IF(B44="","",IFERROR(INDEX(Requisitos!$C$5:$C$60,MATCH(B44,Requisitos!$A$5:$A$60,0)),"¿Requisito no existe?"))</f>
      </c>
      <c r="D44" s="6"/>
      <c r="E44" s="6"/>
      <c r="F44" s="6"/>
      <c r="G44" s="6"/>
      <c r="H44" s="6"/>
      <c r="I44" s="6"/>
      <c r="J44" s="6"/>
      <c r="K44" s="6"/>
      <c r="L44" s="6"/>
      <c r="M44" s="16"/>
      <c r="N44" s="6"/>
      <c r="O44" s="6"/>
      <c r="P44" s="6"/>
    </row>
    <row r="45" x14ac:dyDescent="0.2">
      <c r="A45" s="6"/>
      <c r="B45" s="6"/>
      <c r="C45" s="10">
        <f>IF(B45="","",IFERROR(INDEX(Requisitos!$C$5:$C$60,MATCH(B45,Requisitos!$A$5:$A$60,0)),"¿Requisito no existe?"))</f>
      </c>
      <c r="D45" s="6"/>
      <c r="E45" s="6"/>
      <c r="F45" s="6"/>
      <c r="G45" s="6"/>
      <c r="H45" s="6"/>
      <c r="I45" s="6"/>
      <c r="J45" s="6"/>
      <c r="K45" s="6"/>
      <c r="L45" s="6"/>
      <c r="M45" s="16"/>
      <c r="N45" s="6"/>
      <c r="O45" s="6"/>
      <c r="P45" s="6"/>
    </row>
    <row r="46" x14ac:dyDescent="0.2">
      <c r="A46" s="6"/>
      <c r="B46" s="6"/>
      <c r="C46" s="10">
        <f>IF(B46="","",IFERROR(INDEX(Requisitos!$C$5:$C$60,MATCH(B46,Requisitos!$A$5:$A$60,0)),"¿Requisito no existe?"))</f>
      </c>
      <c r="D46" s="6"/>
      <c r="E46" s="6"/>
      <c r="F46" s="6"/>
      <c r="G46" s="6"/>
      <c r="H46" s="6"/>
      <c r="I46" s="6"/>
      <c r="J46" s="6"/>
      <c r="K46" s="6"/>
      <c r="L46" s="6"/>
      <c r="M46" s="16"/>
      <c r="N46" s="6"/>
      <c r="O46" s="6"/>
      <c r="P46" s="6"/>
    </row>
    <row r="47" x14ac:dyDescent="0.2">
      <c r="A47" s="6"/>
      <c r="B47" s="6"/>
      <c r="C47" s="10">
        <f>IF(B47="","",IFERROR(INDEX(Requisitos!$C$5:$C$60,MATCH(B47,Requisitos!$A$5:$A$60,0)),"¿Requisito no existe?"))</f>
      </c>
      <c r="D47" s="6"/>
      <c r="E47" s="6"/>
      <c r="F47" s="6"/>
      <c r="G47" s="6"/>
      <c r="H47" s="6"/>
      <c r="I47" s="6"/>
      <c r="J47" s="6"/>
      <c r="K47" s="6"/>
      <c r="L47" s="6"/>
      <c r="M47" s="16"/>
      <c r="N47" s="6"/>
      <c r="O47" s="6"/>
      <c r="P47" s="6"/>
    </row>
    <row r="48" x14ac:dyDescent="0.2">
      <c r="A48" s="6"/>
      <c r="B48" s="6"/>
      <c r="C48" s="10">
        <f>IF(B48="","",IFERROR(INDEX(Requisitos!$C$5:$C$60,MATCH(B48,Requisitos!$A$5:$A$60,0)),"¿Requisito no existe?"))</f>
      </c>
      <c r="D48" s="6"/>
      <c r="E48" s="6"/>
      <c r="F48" s="6"/>
      <c r="G48" s="6"/>
      <c r="H48" s="6"/>
      <c r="I48" s="6"/>
      <c r="J48" s="6"/>
      <c r="K48" s="6"/>
      <c r="L48" s="6"/>
      <c r="M48" s="16"/>
      <c r="N48" s="6"/>
      <c r="O48" s="6"/>
      <c r="P48" s="6"/>
    </row>
    <row r="49" x14ac:dyDescent="0.2">
      <c r="A49" s="6"/>
      <c r="B49" s="6"/>
      <c r="C49" s="10">
        <f>IF(B49="","",IFERROR(INDEX(Requisitos!$C$5:$C$60,MATCH(B49,Requisitos!$A$5:$A$60,0)),"¿Requisito no existe?"))</f>
      </c>
      <c r="D49" s="6"/>
      <c r="E49" s="6"/>
      <c r="F49" s="6"/>
      <c r="G49" s="6"/>
      <c r="H49" s="6"/>
      <c r="I49" s="6"/>
      <c r="J49" s="6"/>
      <c r="K49" s="6"/>
      <c r="L49" s="6"/>
      <c r="M49" s="16"/>
      <c r="N49" s="6"/>
      <c r="O49" s="6"/>
      <c r="P49" s="6"/>
    </row>
    <row r="50" x14ac:dyDescent="0.2">
      <c r="A50" s="6"/>
      <c r="B50" s="6"/>
      <c r="C50" s="10">
        <f>IF(B50="","",IFERROR(INDEX(Requisitos!$C$5:$C$60,MATCH(B50,Requisitos!$A$5:$A$60,0)),"¿Requisito no existe?"))</f>
      </c>
      <c r="D50" s="6"/>
      <c r="E50" s="6"/>
      <c r="F50" s="6"/>
      <c r="G50" s="6"/>
      <c r="H50" s="6"/>
      <c r="I50" s="6"/>
      <c r="J50" s="6"/>
      <c r="K50" s="6"/>
      <c r="L50" s="6"/>
      <c r="M50" s="16"/>
      <c r="N50" s="6"/>
      <c r="O50" s="6"/>
      <c r="P50" s="6"/>
    </row>
    <row r="51" x14ac:dyDescent="0.2">
      <c r="A51" s="6"/>
      <c r="B51" s="6"/>
      <c r="C51" s="10">
        <f>IF(B51="","",IFERROR(INDEX(Requisitos!$C$5:$C$60,MATCH(B51,Requisitos!$A$5:$A$60,0)),"¿Requisito no existe?"))</f>
      </c>
      <c r="D51" s="6"/>
      <c r="E51" s="6"/>
      <c r="F51" s="6"/>
      <c r="G51" s="6"/>
      <c r="H51" s="6"/>
      <c r="I51" s="6"/>
      <c r="J51" s="6"/>
      <c r="K51" s="6"/>
      <c r="L51" s="6"/>
      <c r="M51" s="16"/>
      <c r="N51" s="6"/>
      <c r="O51" s="6"/>
      <c r="P51" s="6"/>
    </row>
    <row r="52" x14ac:dyDescent="0.2">
      <c r="A52" s="6"/>
      <c r="B52" s="6"/>
      <c r="C52" s="10">
        <f>IF(B52="","",IFERROR(INDEX(Requisitos!$C$5:$C$60,MATCH(B52,Requisitos!$A$5:$A$60,0)),"¿Requisito no existe?"))</f>
      </c>
      <c r="D52" s="6"/>
      <c r="E52" s="6"/>
      <c r="F52" s="6"/>
      <c r="G52" s="6"/>
      <c r="H52" s="6"/>
      <c r="I52" s="6"/>
      <c r="J52" s="6"/>
      <c r="K52" s="6"/>
      <c r="L52" s="6"/>
      <c r="M52" s="16"/>
      <c r="N52" s="6"/>
      <c r="O52" s="6"/>
      <c r="P52" s="6"/>
    </row>
    <row r="53" x14ac:dyDescent="0.2">
      <c r="A53" s="6"/>
      <c r="B53" s="6"/>
      <c r="C53" s="10">
        <f>IF(B53="","",IFERROR(INDEX(Requisitos!$C$5:$C$60,MATCH(B53,Requisitos!$A$5:$A$60,0)),"¿Requisito no existe?"))</f>
      </c>
      <c r="D53" s="6"/>
      <c r="E53" s="6"/>
      <c r="F53" s="6"/>
      <c r="G53" s="6"/>
      <c r="H53" s="6"/>
      <c r="I53" s="6"/>
      <c r="J53" s="6"/>
      <c r="K53" s="6"/>
      <c r="L53" s="6"/>
      <c r="M53" s="16"/>
      <c r="N53" s="6"/>
      <c r="O53" s="6"/>
      <c r="P53" s="6"/>
    </row>
    <row r="54" x14ac:dyDescent="0.2">
      <c r="A54" s="6"/>
      <c r="B54" s="6"/>
      <c r="C54" s="10">
        <f>IF(B54="","",IFERROR(INDEX(Requisitos!$C$5:$C$60,MATCH(B54,Requisitos!$A$5:$A$60,0)),"¿Requisito no existe?"))</f>
      </c>
      <c r="D54" s="6"/>
      <c r="E54" s="6"/>
      <c r="F54" s="6"/>
      <c r="G54" s="6"/>
      <c r="H54" s="6"/>
      <c r="I54" s="6"/>
      <c r="J54" s="6"/>
      <c r="K54" s="6"/>
      <c r="L54" s="6"/>
      <c r="M54" s="16"/>
      <c r="N54" s="6"/>
      <c r="O54" s="6"/>
      <c r="P54" s="6"/>
    </row>
    <row r="55" x14ac:dyDescent="0.2">
      <c r="A55" s="6"/>
      <c r="B55" s="6"/>
      <c r="C55" s="10">
        <f>IF(B55="","",IFERROR(INDEX(Requisitos!$C$5:$C$60,MATCH(B55,Requisitos!$A$5:$A$60,0)),"¿Requisito no existe?"))</f>
      </c>
      <c r="D55" s="6"/>
      <c r="E55" s="6"/>
      <c r="F55" s="6"/>
      <c r="G55" s="6"/>
      <c r="H55" s="6"/>
      <c r="I55" s="6"/>
      <c r="J55" s="6"/>
      <c r="K55" s="6"/>
      <c r="L55" s="6"/>
      <c r="M55" s="16"/>
      <c r="N55" s="6"/>
      <c r="O55" s="6"/>
      <c r="P55" s="6"/>
    </row>
    <row r="56" x14ac:dyDescent="0.2">
      <c r="A56" s="6"/>
      <c r="B56" s="6"/>
      <c r="C56" s="10">
        <f>IF(B56="","",IFERROR(INDEX(Requisitos!$C$5:$C$60,MATCH(B56,Requisitos!$A$5:$A$60,0)),"¿Requisito no existe?"))</f>
      </c>
      <c r="D56" s="6"/>
      <c r="E56" s="6"/>
      <c r="F56" s="6"/>
      <c r="G56" s="6"/>
      <c r="H56" s="6"/>
      <c r="I56" s="6"/>
      <c r="J56" s="6"/>
      <c r="K56" s="6"/>
      <c r="L56" s="6"/>
      <c r="M56" s="16"/>
      <c r="N56" s="6"/>
      <c r="O56" s="6"/>
      <c r="P56" s="6"/>
    </row>
    <row r="57" x14ac:dyDescent="0.2">
      <c r="A57" s="6"/>
      <c r="B57" s="6"/>
      <c r="C57" s="10">
        <f>IF(B57="","",IFERROR(INDEX(Requisitos!$C$5:$C$60,MATCH(B57,Requisitos!$A$5:$A$60,0)),"¿Requisito no existe?"))</f>
      </c>
      <c r="D57" s="6"/>
      <c r="E57" s="6"/>
      <c r="F57" s="6"/>
      <c r="G57" s="6"/>
      <c r="H57" s="6"/>
      <c r="I57" s="6"/>
      <c r="J57" s="6"/>
      <c r="K57" s="6"/>
      <c r="L57" s="6"/>
      <c r="M57" s="16"/>
      <c r="N57" s="6"/>
      <c r="O57" s="6"/>
      <c r="P57" s="6"/>
    </row>
    <row r="58" x14ac:dyDescent="0.2">
      <c r="A58" s="6"/>
      <c r="B58" s="6"/>
      <c r="C58" s="10">
        <f>IF(B58="","",IFERROR(INDEX(Requisitos!$C$5:$C$60,MATCH(B58,Requisitos!$A$5:$A$60,0)),"¿Requisito no existe?"))</f>
      </c>
      <c r="D58" s="6"/>
      <c r="E58" s="6"/>
      <c r="F58" s="6"/>
      <c r="G58" s="6"/>
      <c r="H58" s="6"/>
      <c r="I58" s="6"/>
      <c r="J58" s="6"/>
      <c r="K58" s="6"/>
      <c r="L58" s="6"/>
      <c r="M58" s="16"/>
      <c r="N58" s="6"/>
      <c r="O58" s="6"/>
      <c r="P58" s="6"/>
    </row>
    <row r="59" x14ac:dyDescent="0.2">
      <c r="A59" s="6"/>
      <c r="B59" s="6"/>
      <c r="C59" s="10">
        <f>IF(B59="","",IFERROR(INDEX(Requisitos!$C$5:$C$60,MATCH(B59,Requisitos!$A$5:$A$60,0)),"¿Requisito no existe?"))</f>
      </c>
      <c r="D59" s="6"/>
      <c r="E59" s="6"/>
      <c r="F59" s="6"/>
      <c r="G59" s="6"/>
      <c r="H59" s="6"/>
      <c r="I59" s="6"/>
      <c r="J59" s="6"/>
      <c r="K59" s="6"/>
      <c r="L59" s="6"/>
      <c r="M59" s="16"/>
      <c r="N59" s="6"/>
      <c r="O59" s="6"/>
      <c r="P59" s="6"/>
    </row>
    <row r="60" x14ac:dyDescent="0.2">
      <c r="A60" s="6"/>
      <c r="B60" s="6"/>
      <c r="C60" s="10">
        <f>IF(B60="","",IFERROR(INDEX(Requisitos!$C$5:$C$60,MATCH(B60,Requisitos!$A$5:$A$60,0)),"¿Requisito no existe?"))</f>
      </c>
      <c r="D60" s="6"/>
      <c r="E60" s="6"/>
      <c r="F60" s="6"/>
      <c r="G60" s="6"/>
      <c r="H60" s="6"/>
      <c r="I60" s="6"/>
      <c r="J60" s="6"/>
      <c r="K60" s="6"/>
      <c r="L60" s="6"/>
      <c r="M60" s="16"/>
      <c r="N60" s="6"/>
      <c r="O60" s="6"/>
      <c r="P60" s="6"/>
    </row>
    <row r="61" x14ac:dyDescent="0.2">
      <c r="A61" s="6"/>
      <c r="B61" s="6"/>
      <c r="C61" s="10">
        <f>IF(B61="","",IFERROR(INDEX(Requisitos!$C$5:$C$60,MATCH(B61,Requisitos!$A$5:$A$60,0)),"¿Requisito no existe?"))</f>
      </c>
      <c r="D61" s="6"/>
      <c r="E61" s="6"/>
      <c r="F61" s="6"/>
      <c r="G61" s="6"/>
      <c r="H61" s="6"/>
      <c r="I61" s="6"/>
      <c r="J61" s="6"/>
      <c r="K61" s="6"/>
      <c r="L61" s="6"/>
      <c r="M61" s="16"/>
      <c r="N61" s="6"/>
      <c r="O61" s="6"/>
      <c r="P61" s="6"/>
    </row>
    <row r="62" x14ac:dyDescent="0.2">
      <c r="A62" s="6"/>
      <c r="B62" s="6"/>
      <c r="C62" s="10">
        <f>IF(B62="","",IFERROR(INDEX(Requisitos!$C$5:$C$60,MATCH(B62,Requisitos!$A$5:$A$60,0)),"¿Requisito no existe?"))</f>
      </c>
      <c r="D62" s="6"/>
      <c r="E62" s="6"/>
      <c r="F62" s="6"/>
      <c r="G62" s="6"/>
      <c r="H62" s="6"/>
      <c r="I62" s="6"/>
      <c r="J62" s="6"/>
      <c r="K62" s="6"/>
      <c r="L62" s="6"/>
      <c r="M62" s="16"/>
      <c r="N62" s="6"/>
      <c r="O62" s="6"/>
      <c r="P62" s="6"/>
    </row>
    <row r="63" x14ac:dyDescent="0.2">
      <c r="A63" s="6"/>
      <c r="B63" s="6"/>
      <c r="C63" s="10">
        <f>IF(B63="","",IFERROR(INDEX(Requisitos!$C$5:$C$60,MATCH(B63,Requisitos!$A$5:$A$60,0)),"¿Requisito no existe?"))</f>
      </c>
      <c r="D63" s="6"/>
      <c r="E63" s="6"/>
      <c r="F63" s="6"/>
      <c r="G63" s="6"/>
      <c r="H63" s="6"/>
      <c r="I63" s="6"/>
      <c r="J63" s="6"/>
      <c r="K63" s="6"/>
      <c r="L63" s="6"/>
      <c r="M63" s="16"/>
      <c r="N63" s="6"/>
      <c r="O63" s="6"/>
      <c r="P63" s="6"/>
    </row>
    <row r="64" x14ac:dyDescent="0.2">
      <c r="A64" s="6"/>
      <c r="B64" s="6"/>
      <c r="C64" s="10">
        <f>IF(B64="","",IFERROR(INDEX(Requisitos!$C$5:$C$60,MATCH(B64,Requisitos!$A$5:$A$60,0)),"¿Requisito no existe?"))</f>
      </c>
      <c r="D64" s="6"/>
      <c r="E64" s="6"/>
      <c r="F64" s="6"/>
      <c r="G64" s="6"/>
      <c r="H64" s="6"/>
      <c r="I64" s="6"/>
      <c r="J64" s="6"/>
      <c r="K64" s="6"/>
      <c r="L64" s="6"/>
      <c r="M64" s="16"/>
      <c r="N64" s="6"/>
      <c r="O64" s="6"/>
      <c r="P64" s="6"/>
    </row>
    <row r="65" x14ac:dyDescent="0.2">
      <c r="A65" s="6"/>
      <c r="B65" s="6"/>
      <c r="C65" s="10">
        <f>IF(B65="","",IFERROR(INDEX(Requisitos!$C$5:$C$60,MATCH(B65,Requisitos!$A$5:$A$60,0)),"¿Requisito no existe?"))</f>
      </c>
      <c r="D65" s="6"/>
      <c r="E65" s="6"/>
      <c r="F65" s="6"/>
      <c r="G65" s="6"/>
      <c r="H65" s="6"/>
      <c r="I65" s="6"/>
      <c r="J65" s="6"/>
      <c r="K65" s="6"/>
      <c r="L65" s="6"/>
      <c r="M65" s="16"/>
      <c r="N65" s="6"/>
      <c r="O65" s="6"/>
      <c r="P65" s="6"/>
    </row>
    <row r="66" x14ac:dyDescent="0.2">
      <c r="A66" s="6"/>
      <c r="B66" s="6"/>
      <c r="C66" s="10">
        <f>IF(B66="","",IFERROR(INDEX(Requisitos!$C$5:$C$60,MATCH(B66,Requisitos!$A$5:$A$60,0)),"¿Requisito no existe?"))</f>
      </c>
      <c r="D66" s="6"/>
      <c r="E66" s="6"/>
      <c r="F66" s="6"/>
      <c r="G66" s="6"/>
      <c r="H66" s="6"/>
      <c r="I66" s="6"/>
      <c r="J66" s="6"/>
      <c r="K66" s="6"/>
      <c r="L66" s="6"/>
      <c r="M66" s="16"/>
      <c r="N66" s="6"/>
      <c r="O66" s="6"/>
      <c r="P66" s="6"/>
    </row>
    <row r="67" x14ac:dyDescent="0.2">
      <c r="A67" s="6"/>
      <c r="B67" s="6"/>
      <c r="C67" s="10">
        <f>IF(B67="","",IFERROR(INDEX(Requisitos!$C$5:$C$60,MATCH(B67,Requisitos!$A$5:$A$60,0)),"¿Requisito no existe?"))</f>
      </c>
      <c r="D67" s="6"/>
      <c r="E67" s="6"/>
      <c r="F67" s="6"/>
      <c r="G67" s="6"/>
      <c r="H67" s="6"/>
      <c r="I67" s="6"/>
      <c r="J67" s="6"/>
      <c r="K67" s="6"/>
      <c r="L67" s="6"/>
      <c r="M67" s="16"/>
      <c r="N67" s="6"/>
      <c r="O67" s="6"/>
      <c r="P67" s="6"/>
    </row>
    <row r="68" x14ac:dyDescent="0.2">
      <c r="A68" s="6"/>
      <c r="B68" s="6"/>
      <c r="C68" s="10">
        <f>IF(B68="","",IFERROR(INDEX(Requisitos!$C$5:$C$60,MATCH(B68,Requisitos!$A$5:$A$60,0)),"¿Requisito no existe?"))</f>
      </c>
      <c r="D68" s="6"/>
      <c r="E68" s="6"/>
      <c r="F68" s="6"/>
      <c r="G68" s="6"/>
      <c r="H68" s="6"/>
      <c r="I68" s="6"/>
      <c r="J68" s="6"/>
      <c r="K68" s="6"/>
      <c r="L68" s="6"/>
      <c r="M68" s="16"/>
      <c r="N68" s="6"/>
      <c r="O68" s="6"/>
      <c r="P68" s="6"/>
    </row>
    <row r="69" x14ac:dyDescent="0.2">
      <c r="A69" s="6"/>
      <c r="B69" s="6"/>
      <c r="C69" s="10">
        <f>IF(B69="","",IFERROR(INDEX(Requisitos!$C$5:$C$60,MATCH(B69,Requisitos!$A$5:$A$60,0)),"¿Requisito no existe?"))</f>
      </c>
      <c r="D69" s="6"/>
      <c r="E69" s="6"/>
      <c r="F69" s="6"/>
      <c r="G69" s="6"/>
      <c r="H69" s="6"/>
      <c r="I69" s="6"/>
      <c r="J69" s="6"/>
      <c r="K69" s="6"/>
      <c r="L69" s="6"/>
      <c r="M69" s="16"/>
      <c r="N69" s="6"/>
      <c r="O69" s="6"/>
      <c r="P69" s="6"/>
    </row>
    <row r="70" x14ac:dyDescent="0.2">
      <c r="A70" s="6"/>
      <c r="B70" s="6"/>
      <c r="C70" s="10">
        <f>IF(B70="","",IFERROR(INDEX(Requisitos!$C$5:$C$60,MATCH(B70,Requisitos!$A$5:$A$60,0)),"¿Requisito no existe?"))</f>
      </c>
      <c r="D70" s="6"/>
      <c r="E70" s="6"/>
      <c r="F70" s="6"/>
      <c r="G70" s="6"/>
      <c r="H70" s="6"/>
      <c r="I70" s="6"/>
      <c r="J70" s="6"/>
      <c r="K70" s="6"/>
      <c r="L70" s="6"/>
      <c r="M70" s="16"/>
      <c r="N70" s="6"/>
      <c r="O70" s="6"/>
      <c r="P70" s="6"/>
    </row>
    <row r="71" x14ac:dyDescent="0.2">
      <c r="A71" s="6"/>
      <c r="B71" s="6"/>
      <c r="C71" s="10">
        <f>IF(B71="","",IFERROR(INDEX(Requisitos!$C$5:$C$60,MATCH(B71,Requisitos!$A$5:$A$60,0)),"¿Requisito no existe?"))</f>
      </c>
      <c r="D71" s="6"/>
      <c r="E71" s="6"/>
      <c r="F71" s="6"/>
      <c r="G71" s="6"/>
      <c r="H71" s="6"/>
      <c r="I71" s="6"/>
      <c r="J71" s="6"/>
      <c r="K71" s="6"/>
      <c r="L71" s="6"/>
      <c r="M71" s="16"/>
      <c r="N71" s="6"/>
      <c r="O71" s="6"/>
      <c r="P71" s="6"/>
    </row>
    <row r="72" x14ac:dyDescent="0.2">
      <c r="A72" s="6"/>
      <c r="B72" s="6"/>
      <c r="C72" s="10">
        <f>IF(B72="","",IFERROR(INDEX(Requisitos!$C$5:$C$60,MATCH(B72,Requisitos!$A$5:$A$60,0)),"¿Requisito no existe?"))</f>
      </c>
      <c r="D72" s="6"/>
      <c r="E72" s="6"/>
      <c r="F72" s="6"/>
      <c r="G72" s="6"/>
      <c r="H72" s="6"/>
      <c r="I72" s="6"/>
      <c r="J72" s="6"/>
      <c r="K72" s="6"/>
      <c r="L72" s="6"/>
      <c r="M72" s="16"/>
      <c r="N72" s="6"/>
      <c r="O72" s="6"/>
      <c r="P72" s="6"/>
    </row>
    <row r="73" x14ac:dyDescent="0.2">
      <c r="A73" s="6"/>
      <c r="B73" s="6"/>
      <c r="C73" s="10">
        <f>IF(B73="","",IFERROR(INDEX(Requisitos!$C$5:$C$60,MATCH(B73,Requisitos!$A$5:$A$60,0)),"¿Requisito no existe?"))</f>
      </c>
      <c r="D73" s="6"/>
      <c r="E73" s="6"/>
      <c r="F73" s="6"/>
      <c r="G73" s="6"/>
      <c r="H73" s="6"/>
      <c r="I73" s="6"/>
      <c r="J73" s="6"/>
      <c r="K73" s="6"/>
      <c r="L73" s="6"/>
      <c r="M73" s="16"/>
      <c r="N73" s="6"/>
      <c r="O73" s="6"/>
      <c r="P73" s="6"/>
    </row>
    <row r="74" x14ac:dyDescent="0.2">
      <c r="A74" s="6"/>
      <c r="B74" s="6"/>
      <c r="C74" s="10">
        <f>IF(B74="","",IFERROR(INDEX(Requisitos!$C$5:$C$60,MATCH(B74,Requisitos!$A$5:$A$60,0)),"¿Requisito no existe?"))</f>
      </c>
      <c r="D74" s="6"/>
      <c r="E74" s="6"/>
      <c r="F74" s="6"/>
      <c r="G74" s="6"/>
      <c r="H74" s="6"/>
      <c r="I74" s="6"/>
      <c r="J74" s="6"/>
      <c r="K74" s="6"/>
      <c r="L74" s="6"/>
      <c r="M74" s="16"/>
      <c r="N74" s="6"/>
      <c r="O74" s="6"/>
      <c r="P74" s="6"/>
    </row>
    <row r="75" x14ac:dyDescent="0.2">
      <c r="A75" s="6"/>
      <c r="B75" s="6"/>
      <c r="C75" s="10">
        <f>IF(B75="","",IFERROR(INDEX(Requisitos!$C$5:$C$60,MATCH(B75,Requisitos!$A$5:$A$60,0)),"¿Requisito no existe?"))</f>
      </c>
      <c r="D75" s="6"/>
      <c r="E75" s="6"/>
      <c r="F75" s="6"/>
      <c r="G75" s="6"/>
      <c r="H75" s="6"/>
      <c r="I75" s="6"/>
      <c r="J75" s="6"/>
      <c r="K75" s="6"/>
      <c r="L75" s="6"/>
      <c r="M75" s="16"/>
      <c r="N75" s="6"/>
      <c r="O75" s="6"/>
      <c r="P75" s="6"/>
    </row>
    <row r="76" x14ac:dyDescent="0.2">
      <c r="A76" s="6"/>
      <c r="B76" s="6"/>
      <c r="C76" s="10">
        <f>IF(B76="","",IFERROR(INDEX(Requisitos!$C$5:$C$60,MATCH(B76,Requisitos!$A$5:$A$60,0)),"¿Requisito no existe?"))</f>
      </c>
      <c r="D76" s="6"/>
      <c r="E76" s="6"/>
      <c r="F76" s="6"/>
      <c r="G76" s="6"/>
      <c r="H76" s="6"/>
      <c r="I76" s="6"/>
      <c r="J76" s="6"/>
      <c r="K76" s="6"/>
      <c r="L76" s="6"/>
      <c r="M76" s="16"/>
      <c r="N76" s="6"/>
      <c r="O76" s="6"/>
      <c r="P76" s="6"/>
    </row>
    <row r="77" x14ac:dyDescent="0.2">
      <c r="A77" s="6"/>
      <c r="B77" s="6"/>
      <c r="C77" s="10">
        <f>IF(B77="","",IFERROR(INDEX(Requisitos!$C$5:$C$60,MATCH(B77,Requisitos!$A$5:$A$60,0)),"¿Requisito no existe?"))</f>
      </c>
      <c r="D77" s="6"/>
      <c r="E77" s="6"/>
      <c r="F77" s="6"/>
      <c r="G77" s="6"/>
      <c r="H77" s="6"/>
      <c r="I77" s="6"/>
      <c r="J77" s="6"/>
      <c r="K77" s="6"/>
      <c r="L77" s="6"/>
      <c r="M77" s="16"/>
      <c r="N77" s="6"/>
      <c r="O77" s="6"/>
      <c r="P77" s="6"/>
    </row>
    <row r="78" x14ac:dyDescent="0.2">
      <c r="A78" s="6"/>
      <c r="B78" s="6"/>
      <c r="C78" s="10">
        <f>IF(B78="","",IFERROR(INDEX(Requisitos!$C$5:$C$60,MATCH(B78,Requisitos!$A$5:$A$60,0)),"¿Requisito no existe?"))</f>
      </c>
      <c r="D78" s="6"/>
      <c r="E78" s="6"/>
      <c r="F78" s="6"/>
      <c r="G78" s="6"/>
      <c r="H78" s="6"/>
      <c r="I78" s="6"/>
      <c r="J78" s="6"/>
      <c r="K78" s="6"/>
      <c r="L78" s="6"/>
      <c r="M78" s="16"/>
      <c r="N78" s="6"/>
      <c r="O78" s="6"/>
      <c r="P78" s="6"/>
    </row>
    <row r="79" x14ac:dyDescent="0.2">
      <c r="A79" s="6"/>
      <c r="B79" s="6"/>
      <c r="C79" s="10">
        <f>IF(B79="","",IFERROR(INDEX(Requisitos!$C$5:$C$60,MATCH(B79,Requisitos!$A$5:$A$60,0)),"¿Requisito no existe?"))</f>
      </c>
      <c r="D79" s="6"/>
      <c r="E79" s="6"/>
      <c r="F79" s="6"/>
      <c r="G79" s="6"/>
      <c r="H79" s="6"/>
      <c r="I79" s="6"/>
      <c r="J79" s="6"/>
      <c r="K79" s="6"/>
      <c r="L79" s="6"/>
      <c r="M79" s="16"/>
      <c r="N79" s="6"/>
      <c r="O79" s="6"/>
      <c r="P79" s="6"/>
    </row>
    <row r="80" x14ac:dyDescent="0.2">
      <c r="A80" s="6"/>
      <c r="B80" s="6"/>
      <c r="C80" s="10">
        <f>IF(B80="","",IFERROR(INDEX(Requisitos!$C$5:$C$60,MATCH(B80,Requisitos!$A$5:$A$60,0)),"¿Requisito no existe?"))</f>
      </c>
      <c r="D80" s="6"/>
      <c r="E80" s="6"/>
      <c r="F80" s="6"/>
      <c r="G80" s="6"/>
      <c r="H80" s="6"/>
      <c r="I80" s="6"/>
      <c r="J80" s="6"/>
      <c r="K80" s="6"/>
      <c r="L80" s="6"/>
      <c r="M80" s="16"/>
      <c r="N80" s="6"/>
      <c r="O80" s="6"/>
      <c r="P80" s="6"/>
    </row>
    <row r="81" x14ac:dyDescent="0.2">
      <c r="A81" s="6"/>
      <c r="B81" s="6"/>
      <c r="C81" s="10">
        <f>IF(B81="","",IFERROR(INDEX(Requisitos!$C$5:$C$60,MATCH(B81,Requisitos!$A$5:$A$60,0)),"¿Requisito no existe?"))</f>
      </c>
      <c r="D81" s="6"/>
      <c r="E81" s="6"/>
      <c r="F81" s="6"/>
      <c r="G81" s="6"/>
      <c r="H81" s="6"/>
      <c r="I81" s="6"/>
      <c r="J81" s="6"/>
      <c r="K81" s="6"/>
      <c r="L81" s="6"/>
      <c r="M81" s="16"/>
      <c r="N81" s="6"/>
      <c r="O81" s="6"/>
      <c r="P81" s="6"/>
    </row>
    <row r="82" x14ac:dyDescent="0.2">
      <c r="A82" s="6"/>
      <c r="B82" s="6"/>
      <c r="C82" s="10">
        <f>IF(B82="","",IFERROR(INDEX(Requisitos!$C$5:$C$60,MATCH(B82,Requisitos!$A$5:$A$60,0)),"¿Requisito no existe?"))</f>
      </c>
      <c r="D82" s="6"/>
      <c r="E82" s="6"/>
      <c r="F82" s="6"/>
      <c r="G82" s="6"/>
      <c r="H82" s="6"/>
      <c r="I82" s="6"/>
      <c r="J82" s="6"/>
      <c r="K82" s="6"/>
      <c r="L82" s="6"/>
      <c r="M82" s="16"/>
      <c r="N82" s="6"/>
      <c r="O82" s="6"/>
      <c r="P82" s="6"/>
    </row>
    <row r="83" x14ac:dyDescent="0.2">
      <c r="A83" s="6"/>
      <c r="B83" s="6"/>
      <c r="C83" s="10">
        <f>IF(B83="","",IFERROR(INDEX(Requisitos!$C$5:$C$60,MATCH(B83,Requisitos!$A$5:$A$60,0)),"¿Requisito no existe?"))</f>
      </c>
      <c r="D83" s="6"/>
      <c r="E83" s="6"/>
      <c r="F83" s="6"/>
      <c r="G83" s="6"/>
      <c r="H83" s="6"/>
      <c r="I83" s="6"/>
      <c r="J83" s="6"/>
      <c r="K83" s="6"/>
      <c r="L83" s="6"/>
      <c r="M83" s="16"/>
      <c r="N83" s="6"/>
      <c r="O83" s="6"/>
      <c r="P83" s="6"/>
    </row>
    <row r="84" x14ac:dyDescent="0.2">
      <c r="A84" s="6"/>
      <c r="B84" s="6"/>
      <c r="C84" s="10">
        <f>IF(B84="","",IFERROR(INDEX(Requisitos!$C$5:$C$60,MATCH(B84,Requisitos!$A$5:$A$60,0)),"¿Requisito no existe?"))</f>
      </c>
      <c r="D84" s="6"/>
      <c r="E84" s="6"/>
      <c r="F84" s="6"/>
      <c r="G84" s="6"/>
      <c r="H84" s="6"/>
      <c r="I84" s="6"/>
      <c r="J84" s="6"/>
      <c r="K84" s="6"/>
      <c r="L84" s="6"/>
      <c r="M84" s="16"/>
      <c r="N84" s="6"/>
      <c r="O84" s="6"/>
      <c r="P84" s="6"/>
    </row>
    <row r="85" x14ac:dyDescent="0.2">
      <c r="A85" s="6"/>
      <c r="B85" s="6"/>
      <c r="C85" s="10">
        <f>IF(B85="","",IFERROR(INDEX(Requisitos!$C$5:$C$60,MATCH(B85,Requisitos!$A$5:$A$60,0)),"¿Requisito no existe?"))</f>
      </c>
      <c r="D85" s="6"/>
      <c r="E85" s="6"/>
      <c r="F85" s="6"/>
      <c r="G85" s="6"/>
      <c r="H85" s="6"/>
      <c r="I85" s="6"/>
      <c r="J85" s="6"/>
      <c r="K85" s="6"/>
      <c r="L85" s="6"/>
      <c r="M85" s="16"/>
      <c r="N85" s="6"/>
      <c r="O85" s="6"/>
      <c r="P85" s="6"/>
    </row>
    <row r="86" x14ac:dyDescent="0.2">
      <c r="A86" s="6"/>
      <c r="B86" s="6"/>
      <c r="C86" s="10">
        <f>IF(B86="","",IFERROR(INDEX(Requisitos!$C$5:$C$60,MATCH(B86,Requisitos!$A$5:$A$60,0)),"¿Requisito no existe?"))</f>
      </c>
      <c r="D86" s="6"/>
      <c r="E86" s="6"/>
      <c r="F86" s="6"/>
      <c r="G86" s="6"/>
      <c r="H86" s="6"/>
      <c r="I86" s="6"/>
      <c r="J86" s="6"/>
      <c r="K86" s="6"/>
      <c r="L86" s="6"/>
      <c r="M86" s="16"/>
      <c r="N86" s="6"/>
      <c r="O86" s="6"/>
      <c r="P86" s="6"/>
    </row>
    <row r="87" x14ac:dyDescent="0.2">
      <c r="A87" s="6"/>
      <c r="B87" s="6"/>
      <c r="C87" s="10">
        <f>IF(B87="","",IFERROR(INDEX(Requisitos!$C$5:$C$60,MATCH(B87,Requisitos!$A$5:$A$60,0)),"¿Requisito no existe?"))</f>
      </c>
      <c r="D87" s="6"/>
      <c r="E87" s="6"/>
      <c r="F87" s="6"/>
      <c r="G87" s="6"/>
      <c r="H87" s="6"/>
      <c r="I87" s="6"/>
      <c r="J87" s="6"/>
      <c r="K87" s="6"/>
      <c r="L87" s="6"/>
      <c r="M87" s="16"/>
      <c r="N87" s="6"/>
      <c r="O87" s="6"/>
      <c r="P87" s="6"/>
    </row>
    <row r="88" x14ac:dyDescent="0.2">
      <c r="A88" s="6"/>
      <c r="B88" s="6"/>
      <c r="C88" s="10">
        <f>IF(B88="","",IFERROR(INDEX(Requisitos!$C$5:$C$60,MATCH(B88,Requisitos!$A$5:$A$60,0)),"¿Requisito no existe?"))</f>
      </c>
      <c r="D88" s="6"/>
      <c r="E88" s="6"/>
      <c r="F88" s="6"/>
      <c r="G88" s="6"/>
      <c r="H88" s="6"/>
      <c r="I88" s="6"/>
      <c r="J88" s="6"/>
      <c r="K88" s="6"/>
      <c r="L88" s="6"/>
      <c r="M88" s="16"/>
      <c r="N88" s="6"/>
      <c r="O88" s="6"/>
      <c r="P88" s="6"/>
    </row>
    <row r="89" x14ac:dyDescent="0.2">
      <c r="A89" s="6"/>
      <c r="B89" s="6"/>
      <c r="C89" s="10">
        <f>IF(B89="","",IFERROR(INDEX(Requisitos!$C$5:$C$60,MATCH(B89,Requisitos!$A$5:$A$60,0)),"¿Requisito no existe?"))</f>
      </c>
      <c r="D89" s="6"/>
      <c r="E89" s="6"/>
      <c r="F89" s="6"/>
      <c r="G89" s="6"/>
      <c r="H89" s="6"/>
      <c r="I89" s="6"/>
      <c r="J89" s="6"/>
      <c r="K89" s="6"/>
      <c r="L89" s="6"/>
      <c r="M89" s="16"/>
      <c r="N89" s="6"/>
      <c r="O89" s="6"/>
      <c r="P89" s="6"/>
    </row>
    <row r="90" x14ac:dyDescent="0.2">
      <c r="A90" s="6"/>
      <c r="B90" s="6"/>
      <c r="C90" s="10">
        <f>IF(B90="","",IFERROR(INDEX(Requisitos!$C$5:$C$60,MATCH(B90,Requisitos!$A$5:$A$60,0)),"¿Requisito no existe?"))</f>
      </c>
      <c r="D90" s="6"/>
      <c r="E90" s="6"/>
      <c r="F90" s="6"/>
      <c r="G90" s="6"/>
      <c r="H90" s="6"/>
      <c r="I90" s="6"/>
      <c r="J90" s="6"/>
      <c r="K90" s="6"/>
      <c r="L90" s="6"/>
      <c r="M90" s="16"/>
      <c r="N90" s="6"/>
      <c r="O90" s="6"/>
      <c r="P90" s="6"/>
    </row>
    <row r="91" x14ac:dyDescent="0.2">
      <c r="A91" s="6"/>
      <c r="B91" s="6"/>
      <c r="C91" s="10">
        <f>IF(B91="","",IFERROR(INDEX(Requisitos!$C$5:$C$60,MATCH(B91,Requisitos!$A$5:$A$60,0)),"¿Requisito no existe?"))</f>
      </c>
      <c r="D91" s="6"/>
      <c r="E91" s="6"/>
      <c r="F91" s="6"/>
      <c r="G91" s="6"/>
      <c r="H91" s="6"/>
      <c r="I91" s="6"/>
      <c r="J91" s="6"/>
      <c r="K91" s="6"/>
      <c r="L91" s="6"/>
      <c r="M91" s="16"/>
      <c r="N91" s="6"/>
      <c r="O91" s="6"/>
      <c r="P91" s="6"/>
    </row>
    <row r="92" x14ac:dyDescent="0.2">
      <c r="A92" s="6"/>
      <c r="B92" s="6"/>
      <c r="C92" s="10">
        <f>IF(B92="","",IFERROR(INDEX(Requisitos!$C$5:$C$60,MATCH(B92,Requisitos!$A$5:$A$60,0)),"¿Requisito no existe?"))</f>
      </c>
      <c r="D92" s="6"/>
      <c r="E92" s="6"/>
      <c r="F92" s="6"/>
      <c r="G92" s="6"/>
      <c r="H92" s="6"/>
      <c r="I92" s="6"/>
      <c r="J92" s="6"/>
      <c r="K92" s="6"/>
      <c r="L92" s="6"/>
      <c r="M92" s="16"/>
      <c r="N92" s="6"/>
      <c r="O92" s="6"/>
      <c r="P92" s="6"/>
    </row>
    <row r="93" x14ac:dyDescent="0.2">
      <c r="A93" s="6"/>
      <c r="B93" s="6"/>
      <c r="C93" s="10">
        <f>IF(B93="","",IFERROR(INDEX(Requisitos!$C$5:$C$60,MATCH(B93,Requisitos!$A$5:$A$60,0)),"¿Requisito no existe?"))</f>
      </c>
      <c r="D93" s="6"/>
      <c r="E93" s="6"/>
      <c r="F93" s="6"/>
      <c r="G93" s="6"/>
      <c r="H93" s="6"/>
      <c r="I93" s="6"/>
      <c r="J93" s="6"/>
      <c r="K93" s="6"/>
      <c r="L93" s="6"/>
      <c r="M93" s="16"/>
      <c r="N93" s="6"/>
      <c r="O93" s="6"/>
      <c r="P93" s="6"/>
    </row>
    <row r="94" x14ac:dyDescent="0.2">
      <c r="A94" s="6"/>
      <c r="B94" s="6"/>
      <c r="C94" s="10">
        <f>IF(B94="","",IFERROR(INDEX(Requisitos!$C$5:$C$60,MATCH(B94,Requisitos!$A$5:$A$60,0)),"¿Requisito no existe?"))</f>
      </c>
      <c r="D94" s="6"/>
      <c r="E94" s="6"/>
      <c r="F94" s="6"/>
      <c r="G94" s="6"/>
      <c r="H94" s="6"/>
      <c r="I94" s="6"/>
      <c r="J94" s="6"/>
      <c r="K94" s="6"/>
      <c r="L94" s="6"/>
      <c r="M94" s="16"/>
      <c r="N94" s="6"/>
      <c r="O94" s="6"/>
      <c r="P94" s="6"/>
    </row>
    <row r="95" x14ac:dyDescent="0.2">
      <c r="A95" s="6"/>
      <c r="B95" s="6"/>
      <c r="C95" s="10">
        <f>IF(B95="","",IFERROR(INDEX(Requisitos!$C$5:$C$60,MATCH(B95,Requisitos!$A$5:$A$60,0)),"¿Requisito no existe?"))</f>
      </c>
      <c r="D95" s="6"/>
      <c r="E95" s="6"/>
      <c r="F95" s="6"/>
      <c r="G95" s="6"/>
      <c r="H95" s="6"/>
      <c r="I95" s="6"/>
      <c r="J95" s="6"/>
      <c r="K95" s="6"/>
      <c r="L95" s="6"/>
      <c r="M95" s="16"/>
      <c r="N95" s="6"/>
      <c r="O95" s="6"/>
      <c r="P95" s="6"/>
    </row>
    <row r="96" x14ac:dyDescent="0.2">
      <c r="A96" s="6"/>
      <c r="B96" s="6"/>
      <c r="C96" s="10">
        <f>IF(B96="","",IFERROR(INDEX(Requisitos!$C$5:$C$60,MATCH(B96,Requisitos!$A$5:$A$60,0)),"¿Requisito no existe?"))</f>
      </c>
      <c r="D96" s="6"/>
      <c r="E96" s="6"/>
      <c r="F96" s="6"/>
      <c r="G96" s="6"/>
      <c r="H96" s="6"/>
      <c r="I96" s="6"/>
      <c r="J96" s="6"/>
      <c r="K96" s="6"/>
      <c r="L96" s="6"/>
      <c r="M96" s="16"/>
      <c r="N96" s="6"/>
      <c r="O96" s="6"/>
      <c r="P96" s="6"/>
    </row>
    <row r="97" x14ac:dyDescent="0.2">
      <c r="A97" s="6"/>
      <c r="B97" s="6"/>
      <c r="C97" s="10">
        <f>IF(B97="","",IFERROR(INDEX(Requisitos!$C$5:$C$60,MATCH(B97,Requisitos!$A$5:$A$60,0)),"¿Requisito no existe?"))</f>
      </c>
      <c r="D97" s="6"/>
      <c r="E97" s="6"/>
      <c r="F97" s="6"/>
      <c r="G97" s="6"/>
      <c r="H97" s="6"/>
      <c r="I97" s="6"/>
      <c r="J97" s="6"/>
      <c r="K97" s="6"/>
      <c r="L97" s="6"/>
      <c r="M97" s="16"/>
      <c r="N97" s="6"/>
      <c r="O97" s="6"/>
      <c r="P97" s="6"/>
    </row>
    <row r="98" x14ac:dyDescent="0.2">
      <c r="A98" s="6"/>
      <c r="B98" s="6"/>
      <c r="C98" s="10">
        <f>IF(B98="","",IFERROR(INDEX(Requisitos!$C$5:$C$60,MATCH(B98,Requisitos!$A$5:$A$60,0)),"¿Requisito no existe?"))</f>
      </c>
      <c r="D98" s="6"/>
      <c r="E98" s="6"/>
      <c r="F98" s="6"/>
      <c r="G98" s="6"/>
      <c r="H98" s="6"/>
      <c r="I98" s="6"/>
      <c r="J98" s="6"/>
      <c r="K98" s="6"/>
      <c r="L98" s="6"/>
      <c r="M98" s="16"/>
      <c r="N98" s="6"/>
      <c r="O98" s="6"/>
      <c r="P98" s="6"/>
    </row>
    <row r="99" x14ac:dyDescent="0.2">
      <c r="A99" s="6"/>
      <c r="B99" s="6"/>
      <c r="C99" s="10">
        <f>IF(B99="","",IFERROR(INDEX(Requisitos!$C$5:$C$60,MATCH(B99,Requisitos!$A$5:$A$60,0)),"¿Requisito no existe?"))</f>
      </c>
      <c r="D99" s="6"/>
      <c r="E99" s="6"/>
      <c r="F99" s="6"/>
      <c r="G99" s="6"/>
      <c r="H99" s="6"/>
      <c r="I99" s="6"/>
      <c r="J99" s="6"/>
      <c r="K99" s="6"/>
      <c r="L99" s="6"/>
      <c r="M99" s="16"/>
      <c r="N99" s="6"/>
      <c r="O99" s="6"/>
      <c r="P99" s="6"/>
    </row>
    <row r="100" x14ac:dyDescent="0.2">
      <c r="A100" s="6"/>
      <c r="B100" s="6"/>
      <c r="C100" s="10">
        <f>IF(B100="","",IFERROR(INDEX(Requisitos!$C$5:$C$60,MATCH(B100,Requisitos!$A$5:$A$60,0)),"¿Requisito no existe?"))</f>
      </c>
      <c r="D100" s="6"/>
      <c r="E100" s="6"/>
      <c r="F100" s="6"/>
      <c r="G100" s="6"/>
      <c r="H100" s="6"/>
      <c r="I100" s="6"/>
      <c r="J100" s="6"/>
      <c r="K100" s="6"/>
      <c r="L100" s="6"/>
      <c r="M100" s="16"/>
      <c r="N100" s="6"/>
      <c r="O100" s="6"/>
      <c r="P100" s="6"/>
    </row>
    <row r="101" x14ac:dyDescent="0.2">
      <c r="A101" s="6"/>
      <c r="B101" s="6"/>
      <c r="C101" s="10">
        <f>IF(B101="","",IFERROR(INDEX(Requisitos!$C$5:$C$60,MATCH(B101,Requisitos!$A$5:$A$60,0)),"¿Requisito no existe?"))</f>
      </c>
      <c r="D101" s="6"/>
      <c r="E101" s="6"/>
      <c r="F101" s="6"/>
      <c r="G101" s="6"/>
      <c r="H101" s="6"/>
      <c r="I101" s="6"/>
      <c r="J101" s="6"/>
      <c r="K101" s="6"/>
      <c r="L101" s="6"/>
      <c r="M101" s="16"/>
      <c r="N101" s="6"/>
      <c r="O101" s="6"/>
      <c r="P101" s="6"/>
    </row>
    <row r="102" x14ac:dyDescent="0.2">
      <c r="A102" s="6"/>
      <c r="B102" s="6"/>
      <c r="C102" s="10">
        <f>IF(B102="","",IFERROR(INDEX(Requisitos!$C$5:$C$60,MATCH(B102,Requisitos!$A$5:$A$60,0)),"¿Requisito no existe?"))</f>
      </c>
      <c r="D102" s="6"/>
      <c r="E102" s="6"/>
      <c r="F102" s="6"/>
      <c r="G102" s="6"/>
      <c r="H102" s="6"/>
      <c r="I102" s="6"/>
      <c r="J102" s="6"/>
      <c r="K102" s="6"/>
      <c r="L102" s="6"/>
      <c r="M102" s="16"/>
      <c r="N102" s="6"/>
      <c r="O102" s="6"/>
      <c r="P102" s="6"/>
    </row>
    <row r="103" x14ac:dyDescent="0.2">
      <c r="A103" s="6"/>
      <c r="B103" s="6"/>
      <c r="C103" s="10">
        <f>IF(B103="","",IFERROR(INDEX(Requisitos!$C$5:$C$60,MATCH(B103,Requisitos!$A$5:$A$60,0)),"¿Requisito no existe?"))</f>
      </c>
      <c r="D103" s="6"/>
      <c r="E103" s="6"/>
      <c r="F103" s="6"/>
      <c r="G103" s="6"/>
      <c r="H103" s="6"/>
      <c r="I103" s="6"/>
      <c r="J103" s="6"/>
      <c r="K103" s="6"/>
      <c r="L103" s="6"/>
      <c r="M103" s="16"/>
      <c r="N103" s="6"/>
      <c r="O103" s="6"/>
      <c r="P103" s="6"/>
    </row>
    <row r="104" x14ac:dyDescent="0.2">
      <c r="A104" s="6"/>
      <c r="B104" s="6"/>
      <c r="C104" s="10">
        <f>IF(B104="","",IFERROR(INDEX(Requisitos!$C$5:$C$60,MATCH(B104,Requisitos!$A$5:$A$60,0)),"¿Requisito no existe?"))</f>
      </c>
      <c r="D104" s="6"/>
      <c r="E104" s="6"/>
      <c r="F104" s="6"/>
      <c r="G104" s="6"/>
      <c r="H104" s="6"/>
      <c r="I104" s="6"/>
      <c r="J104" s="6"/>
      <c r="K104" s="6"/>
      <c r="L104" s="6"/>
      <c r="M104" s="16"/>
      <c r="N104" s="6"/>
      <c r="O104" s="6"/>
      <c r="P104" s="6"/>
    </row>
    <row r="106" x14ac:dyDescent="0.2">
      <c r="A106" s="2" t="inlineStr">
        <is>
          <t xml:space="preserve">Veredictos: APROBADO = ejecutado y conforme; BLOQUEADO = se intentó y el servidor responde 501 porque la función aún no existe; PENDIENTE = sin ejecutar (los numéricos esperan el cálculo; rendimiento y usabilidad, el corte 3).</t>
        </is>
      </c>
    </row>
  </sheetData>
  <conditionalFormatting sqref="M5:M104">
    <cfRule type="cellIs" dxfId="15" priority="2" operator="equal">
      <formula>"APROBADO"</formula>
    </cfRule>
    <cfRule type="cellIs" dxfId="14" priority="3" operator="equal">
      <formula>"FALLIDO"</formula>
    </cfRule>
    <cfRule type="cellIs" dxfId="13" priority="4" operator="equal">
      <formula>"BLOQUEADO"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300-000000000000}">
          <x14:formula1>
            <xm:f>Listas!$D$2:$D$8</xm:f>
          </x14:formula1>
          <x14:formula2>
            <xm:f>0</xm:f>
          </x14:formula2>
          <xm:sqref>D5:D104</xm:sqref>
        </x14:dataValidation>
        <x14:dataValidation type="list" allowBlank="1" xr:uid="{00000000-0002-0000-0300-000001000000}">
          <x14:formula1>
            <xm:f>Listas!$E$2:$E$9</xm:f>
          </x14:formula1>
          <x14:formula2>
            <xm:f>0</xm:f>
          </x14:formula2>
          <xm:sqref>E5:E104</xm:sqref>
        </x14:dataValidation>
        <x14:dataValidation type="list" allowBlank="1" xr:uid="{00000000-0002-0000-0300-000002000000}">
          <x14:formula1>
            <xm:f>Listas!$C$2:$C$4</xm:f>
          </x14:formula1>
          <x14:formula2>
            <xm:f>0</xm:f>
          </x14:formula2>
          <xm:sqref>F5:F104</xm:sqref>
        </x14:dataValidation>
        <x14:dataValidation type="list" allowBlank="1" xr:uid="{00000000-0002-0000-0300-000003000000}">
          <x14:formula1>
            <xm:f>Listas!$F$2:$F$5</xm:f>
          </x14:formula1>
          <x14:formula2>
            <xm:f>0</xm:f>
          </x14:formula2>
          <xm:sqref>M5:M104</xm:sqref>
        </x14:dataValidation>
        <x14:dataValidation type="list" allowBlank="1" showErrorMessage="1" errorTitle="Requisito inexistente" error="Usa un ID que exista en la hoja Requisitos." xr:uid="{00000000-0002-0000-0300-000004000000}">
          <x14:formula1>
            <xm:f>Requisitos!$A$5:$A$60</xm:f>
          </x14:formula1>
          <x14:formula2>
            <xm:f>0</xm:f>
          </x14:formula2>
          <xm:sqref>B5:B104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40" customWidth="1"/>
    <col min="3" max="3" width="18" customWidth="1"/>
    <col min="4" max="5" width="16" customWidth="1"/>
    <col min="6" max="7" width="12" customWidth="1"/>
    <col min="8" max="9" width="14" customWidth="1"/>
  </cols>
  <sheetData>
    <row r="1" ht="18" x14ac:dyDescent="0.2">
      <c r="A1" s="1" t="s">
        <v>248</v>
      </c>
    </row>
    <row r="2" x14ac:dyDescent="0.2">
      <c r="A2" s="2" t="inlineStr">
        <is>
          <t xml:space="preserve">Columna C = valor de Calculo_Referencia. Columna D = lo que devuelve el sistema (se escribe al ejecutar). El veredicto se calcula solo con la tolerancia de la columna F.</t>
        </is>
      </c>
    </row>
    <row r="4" ht="31.5" customHeight="1" x14ac:dyDescent="0.2">
      <c r="A4" s="5" t="s">
        <v>110</v>
      </c>
      <c r="B4" s="5" t="s">
        <v>250</v>
      </c>
      <c r="C4" s="5" t="s">
        <v>251</v>
      </c>
      <c r="D4" s="5" t="s">
        <v>252</v>
      </c>
      <c r="E4" s="5" t="s">
        <v>253</v>
      </c>
      <c r="F4" s="5" t="s">
        <v>118</v>
      </c>
      <c r="G4" s="5" t="s">
        <v>254</v>
      </c>
      <c r="H4" s="5" t="s">
        <v>120</v>
      </c>
      <c r="I4" s="5" t="s">
        <v>121</v>
      </c>
    </row>
    <row r="5" x14ac:dyDescent="0.2">
      <c r="A5" s="16" t="inlineStr">
        <is>
          <t xml:space="preserve">CP-001</t>
        </is>
      </c>
      <c r="B5" s="6" t="inlineStr">
        <is>
          <t xml:space="preserve">MA(2) serie A · pronóstico periodo 3</t>
        </is>
      </c>
      <c r="C5" s="18">
        <f>Calculo_Referencia!C7</f>
      </c>
      <c r="D5" s="11"/>
      <c r="E5" s="12">
        <f>IF(OR(C5="",D5=""),"",ABS(D5-C5))</f>
      </c>
      <c r="F5" s="9">
        <v>0.01</v>
      </c>
      <c r="G5" s="16" t="inlineStr">
        <is>
          <t xml:space="preserve">unidades</t>
        </is>
      </c>
      <c r="H5" s="17">
        <f>IF(C5="","",IF(D5="","PENDIENTE",IF(ABS(D5-C5)&lt;=F5,"APROBADO","FALLIDO")))</f>
      </c>
      <c r="I5" s="16"/>
    </row>
    <row r="6" x14ac:dyDescent="0.2">
      <c r="A6" s="16" t="inlineStr">
        <is>
          <t xml:space="preserve">CP-002</t>
        </is>
      </c>
      <c r="B6" s="6" t="inlineStr">
        <is>
          <t xml:space="preserve">MA(2) serie A · pronóstico periodo 4</t>
        </is>
      </c>
      <c r="C6" s="18">
        <f>Calculo_Referencia!C8</f>
      </c>
      <c r="D6" s="11"/>
      <c r="E6" s="12">
        <f>IF(OR(C6="",D6=""),"",ABS(D6-C6))</f>
      </c>
      <c r="F6" s="9">
        <v>0.01</v>
      </c>
      <c r="G6" s="16" t="inlineStr">
        <is>
          <t xml:space="preserve">unidades</t>
        </is>
      </c>
      <c r="H6" s="17">
        <f>IF(C6="","",IF(D6="","PENDIENTE",IF(ABS(D6-C6)&lt;=F6,"APROBADO","FALLIDO")))</f>
      </c>
      <c r="I6" s="16"/>
    </row>
    <row r="7" x14ac:dyDescent="0.2">
      <c r="A7" s="16" t="inlineStr">
        <is>
          <t xml:space="preserve">CP-003</t>
        </is>
      </c>
      <c r="B7" s="6" t="inlineStr">
        <is>
          <t xml:space="preserve">MA(2) serie A · estimación periodo 5</t>
        </is>
      </c>
      <c r="C7" s="18">
        <f>Calculo_Referencia!C9</f>
      </c>
      <c r="D7" s="11"/>
      <c r="E7" s="12">
        <f>IF(OR(C7="",D7=""),"",ABS(D7-C7))</f>
      </c>
      <c r="F7" s="9">
        <v>0.01</v>
      </c>
      <c r="G7" s="16" t="inlineStr">
        <is>
          <t xml:space="preserve">unidades</t>
        </is>
      </c>
      <c r="H7" s="17">
        <f>IF(C7="","",IF(D7="","PENDIENTE",IF(ABS(D7-C7)&lt;=F7,"APROBADO","FALLIDO")))</f>
      </c>
      <c r="I7" s="16"/>
    </row>
    <row r="8" x14ac:dyDescent="0.2">
      <c r="A8" s="16" t="inlineStr">
        <is>
          <t xml:space="preserve">CP-004</t>
        </is>
      </c>
      <c r="B8" s="6" t="inlineStr">
        <is>
          <t xml:space="preserve">Serie A · MAD</t>
        </is>
      </c>
      <c r="C8" s="18">
        <f>Calculo_Referencia!R10</f>
      </c>
      <c r="D8" s="11"/>
      <c r="E8" s="12">
        <f>IF(OR(C8="",D8=""),"",ABS(D8-C8))</f>
      </c>
      <c r="F8" s="9">
        <v>0.01</v>
      </c>
      <c r="G8" s="16" t="inlineStr">
        <is>
          <t xml:space="preserve">unidades</t>
        </is>
      </c>
      <c r="H8" s="17">
        <f>IF(C8="","",IF(D8="","PENDIENTE",IF(ABS(D8-C8)&lt;=F8,"APROBADO","FALLIDO")))</f>
      </c>
      <c r="I8" s="16"/>
    </row>
    <row r="9" x14ac:dyDescent="0.2">
      <c r="A9" s="16" t="inlineStr">
        <is>
          <t xml:space="preserve">CP-005</t>
        </is>
      </c>
      <c r="B9" s="6" t="inlineStr">
        <is>
          <t xml:space="preserve">Serie A · MAPE</t>
        </is>
      </c>
      <c r="C9" s="18">
        <f>Calculo_Referencia!R11</f>
      </c>
      <c r="D9" s="11"/>
      <c r="E9" s="12">
        <f>IF(OR(C9="",D9=""),"",ABS(D9-C9))</f>
      </c>
      <c r="F9" s="9">
        <v>0.01</v>
      </c>
      <c r="G9" s="16" t="inlineStr">
        <is>
          <t xml:space="preserve">% (puntos)</t>
        </is>
      </c>
      <c r="H9" s="17">
        <f>IF(C9="","",IF(D9="","PENDIENTE",IF(ABS(D9-C9)&lt;=F9,"APROBADO","FALLIDO")))</f>
      </c>
      <c r="I9" s="16"/>
    </row>
    <row r="10" x14ac:dyDescent="0.2">
      <c r="A10" s="16" t="inlineStr">
        <is>
          <t xml:space="preserve">CP-006</t>
        </is>
      </c>
      <c r="B10" s="6" t="inlineStr">
        <is>
          <t xml:space="preserve">MA(2) serie B · pronóstico periodo 4</t>
        </is>
      </c>
      <c r="C10" s="18">
        <f>Calculo_Referencia!K8</f>
      </c>
      <c r="D10" s="11"/>
      <c r="E10" s="12">
        <f>IF(OR(C10="",D10=""),"",ABS(D10-C10))</f>
      </c>
      <c r="F10" s="9">
        <v>0.01</v>
      </c>
      <c r="G10" s="16" t="inlineStr">
        <is>
          <t xml:space="preserve">unidades</t>
        </is>
      </c>
      <c r="H10" s="17">
        <f>IF(C10="","",IF(D10="","PENDIENTE",IF(ABS(D10-C10)&lt;=F10,"APROBADO","FALLIDO")))</f>
      </c>
      <c r="I10" s="16"/>
    </row>
    <row r="11" x14ac:dyDescent="0.2">
      <c r="A11" s="16" t="inlineStr">
        <is>
          <t xml:space="preserve">CP-007</t>
        </is>
      </c>
      <c r="B11" s="6" t="inlineStr">
        <is>
          <t xml:space="preserve">Serie B · MAD</t>
        </is>
      </c>
      <c r="C11" s="18">
        <f>Calculo_Referencia!R14</f>
      </c>
      <c r="D11" s="11"/>
      <c r="E11" s="12">
        <f>IF(OR(C11="",D11=""),"",ABS(D11-C11))</f>
      </c>
      <c r="F11" s="9">
        <v>0.01</v>
      </c>
      <c r="G11" s="16" t="inlineStr">
        <is>
          <t xml:space="preserve">unidades</t>
        </is>
      </c>
      <c r="H11" s="17">
        <f>IF(C11="","",IF(D11="","PENDIENTE",IF(ABS(D11-C11)&lt;=F11,"APROBADO","FALLIDO")))</f>
      </c>
      <c r="I11" s="16"/>
    </row>
    <row r="12" x14ac:dyDescent="0.2">
      <c r="A12" s="16" t="inlineStr">
        <is>
          <t xml:space="preserve">CP-008</t>
        </is>
      </c>
      <c r="B12" s="6" t="inlineStr">
        <is>
          <t xml:space="preserve">Serie B · MAPE (excluye el real = 0)</t>
        </is>
      </c>
      <c r="C12" s="18">
        <f>Calculo_Referencia!R15</f>
      </c>
      <c r="D12" s="11"/>
      <c r="E12" s="12">
        <f>IF(OR(C12="",D12=""),"",ABS(D12-C12))</f>
      </c>
      <c r="F12" s="9">
        <v>0.01</v>
      </c>
      <c r="G12" s="16" t="inlineStr">
        <is>
          <t xml:space="preserve">% (puntos)</t>
        </is>
      </c>
      <c r="H12" s="17">
        <f>IF(C12="","",IF(D12="","PENDIENTE",IF(ABS(D12-C12)&lt;=F12,"APROBADO","FALLIDO")))</f>
      </c>
      <c r="I12" s="16"/>
    </row>
    <row r="13" x14ac:dyDescent="0.2">
      <c r="A13" s="16" t="inlineStr">
        <is>
          <t xml:space="preserve">CP-009</t>
        </is>
      </c>
      <c r="B13" s="6" t="inlineStr">
        <is>
          <t xml:space="preserve">MA(2) serie B · estimación periodo 6</t>
        </is>
      </c>
      <c r="C13" s="18">
        <f>Calculo_Referencia!K10</f>
      </c>
      <c r="D13" s="11"/>
      <c r="E13" s="12">
        <f>IF(OR(C13="",D13=""),"",ABS(D13-C13))</f>
      </c>
      <c r="F13" s="9">
        <v>0.01</v>
      </c>
      <c r="G13" s="16" t="inlineStr">
        <is>
          <t xml:space="preserve">unidades</t>
        </is>
      </c>
      <c r="H13" s="17">
        <f>IF(C13="","",IF(D13="","PENDIENTE",IF(ABS(D13-C13)&lt;=F13,"APROBADO","FALLIDO")))</f>
      </c>
      <c r="I13" s="16"/>
    </row>
    <row r="14" x14ac:dyDescent="0.2">
      <c r="A14" s="16"/>
      <c r="B14" s="16"/>
      <c r="C14" s="16"/>
      <c r="D14" s="19"/>
      <c r="E14" s="12">
        <f>IF(OR(C14="",D14=""),"",ABS(D14-C14))</f>
      </c>
      <c r="F14" s="16"/>
      <c r="G14" s="16"/>
      <c r="H14" s="17">
        <f>IF(C14="","",IF(D14="","PENDIENTE",IF(ABS(D14-C14)&lt;=F14,"APROBADO","FALLIDO")))</f>
      </c>
      <c r="I14" s="16"/>
    </row>
    <row r="15" x14ac:dyDescent="0.2">
      <c r="A15" s="16"/>
      <c r="B15" s="16"/>
      <c r="C15" s="16"/>
      <c r="D15" s="19"/>
      <c r="E15" s="12">
        <f>IF(OR(C15="",D15=""),"",ABS(D15-C15))</f>
      </c>
      <c r="F15" s="16"/>
      <c r="G15" s="16"/>
      <c r="H15" s="17">
        <f>IF(C15="","",IF(D15="","PENDIENTE",IF(ABS(D15-C15)&lt;=F15,"APROBADO","FALLIDO")))</f>
      </c>
      <c r="I15" s="16"/>
    </row>
    <row r="16" x14ac:dyDescent="0.2">
      <c r="A16" s="16"/>
      <c r="B16" s="16"/>
      <c r="C16" s="16"/>
      <c r="D16" s="19"/>
      <c r="E16" s="12">
        <f>IF(OR(C16="",D16=""),"",ABS(D16-C16))</f>
      </c>
      <c r="F16" s="16"/>
      <c r="G16" s="16"/>
      <c r="H16" s="17">
        <f>IF(C16="","",IF(D16="","PENDIENTE",IF(ABS(D16-C16)&lt;=F16,"APROBADO","FALLIDO")))</f>
      </c>
      <c r="I16" s="16"/>
    </row>
    <row r="17" x14ac:dyDescent="0.2">
      <c r="A17" s="16"/>
      <c r="B17" s="16"/>
      <c r="C17" s="16"/>
      <c r="D17" s="19"/>
      <c r="E17" s="12">
        <f>IF(OR(C17="",D17=""),"",ABS(D17-C17))</f>
      </c>
      <c r="F17" s="16"/>
      <c r="G17" s="16"/>
      <c r="H17" s="17">
        <f>IF(C17="","",IF(D17="","PENDIENTE",IF(ABS(D17-C17)&lt;=F17,"APROBADO","FALLIDO")))</f>
      </c>
      <c r="I17" s="16"/>
    </row>
    <row r="18" x14ac:dyDescent="0.2">
      <c r="A18" s="16"/>
      <c r="B18" s="16"/>
      <c r="C18" s="16"/>
      <c r="D18" s="19"/>
      <c r="E18" s="12">
        <f>IF(OR(C18="",D18=""),"",ABS(D18-C18))</f>
      </c>
      <c r="F18" s="16"/>
      <c r="G18" s="16"/>
      <c r="H18" s="17">
        <f>IF(C18="","",IF(D18="","PENDIENTE",IF(ABS(D18-C18)&lt;=F18,"APROBADO","FALLIDO")))</f>
      </c>
      <c r="I18" s="16"/>
    </row>
    <row r="19" x14ac:dyDescent="0.2">
      <c r="A19" s="16"/>
      <c r="B19" s="16"/>
      <c r="C19" s="16"/>
      <c r="D19" s="19"/>
      <c r="E19" s="12">
        <f>IF(OR(C19="",D19=""),"",ABS(D19-C19))</f>
      </c>
      <c r="F19" s="16"/>
      <c r="G19" s="16"/>
      <c r="H19" s="17">
        <f>IF(C19="","",IF(D19="","PENDIENTE",IF(ABS(D19-C19)&lt;=F19,"APROBADO","FALLIDO")))</f>
      </c>
      <c r="I19" s="16"/>
    </row>
    <row r="20" x14ac:dyDescent="0.2">
      <c r="A20" s="16"/>
      <c r="B20" s="16"/>
      <c r="C20" s="16"/>
      <c r="D20" s="19"/>
      <c r="E20" s="12">
        <f>IF(OR(C20="",D20=""),"",ABS(D20-C20))</f>
      </c>
      <c r="F20" s="16"/>
      <c r="G20" s="16"/>
      <c r="H20" s="17">
        <f>IF(C20="","",IF(D20="","PENDIENTE",IF(ABS(D20-C20)&lt;=F20,"APROBADO","FALLIDO")))</f>
      </c>
      <c r="I20" s="16"/>
    </row>
    <row r="21" x14ac:dyDescent="0.2">
      <c r="A21" s="16"/>
      <c r="B21" s="16"/>
      <c r="C21" s="16"/>
      <c r="D21" s="19"/>
      <c r="E21" s="12">
        <f>IF(OR(C21="",D21=""),"",ABS(D21-C21))</f>
      </c>
      <c r="F21" s="16"/>
      <c r="G21" s="16"/>
      <c r="H21" s="17">
        <f>IF(C21="","",IF(D21="","PENDIENTE",IF(ABS(D21-C21)&lt;=F21,"APROBADO","FALLIDO")))</f>
      </c>
      <c r="I21" s="16"/>
    </row>
    <row r="22" x14ac:dyDescent="0.2">
      <c r="A22" s="16"/>
      <c r="B22" s="16"/>
      <c r="C22" s="16"/>
      <c r="D22" s="19"/>
      <c r="E22" s="12">
        <f>IF(OR(C22="",D22=""),"",ABS(D22-C22))</f>
      </c>
      <c r="F22" s="16"/>
      <c r="G22" s="16"/>
      <c r="H22" s="17">
        <f>IF(C22="","",IF(D22="","PENDIENTE",IF(ABS(D22-C22)&lt;=F22,"APROBADO","FALLIDO")))</f>
      </c>
      <c r="I22" s="16"/>
    </row>
    <row r="23" x14ac:dyDescent="0.2">
      <c r="A23" s="16"/>
      <c r="B23" s="16"/>
      <c r="C23" s="16"/>
      <c r="D23" s="19"/>
      <c r="E23" s="12">
        <f>IF(OR(C23="",D23=""),"",ABS(D23-C23))</f>
      </c>
      <c r="F23" s="16"/>
      <c r="G23" s="16"/>
      <c r="H23" s="17">
        <f>IF(C23="","",IF(D23="","PENDIENTE",IF(ABS(D23-C23)&lt;=F23,"APROBADO","FALLIDO")))</f>
      </c>
      <c r="I23" s="16"/>
    </row>
    <row r="24" x14ac:dyDescent="0.2">
      <c r="A24" s="16"/>
      <c r="B24" s="16"/>
      <c r="C24" s="16"/>
      <c r="D24" s="19"/>
      <c r="E24" s="12">
        <f>IF(OR(C24="",D24=""),"",ABS(D24-C24))</f>
      </c>
      <c r="F24" s="16"/>
      <c r="G24" s="16"/>
      <c r="H24" s="17">
        <f>IF(C24="","",IF(D24="","PENDIENTE",IF(ABS(D24-C24)&lt;=F24,"APROBADO","FALLIDO")))</f>
      </c>
      <c r="I24" s="16"/>
    </row>
    <row r="26" x14ac:dyDescent="0.2">
      <c r="A26" s="2" t="inlineStr">
        <is>
          <t xml:space="preserve">Estado al 22/10/2026: POST /api/v1/forecasts responde 501 Not Implemented, así que la columna D sigue vacía y los nueve casos figuran como PENDIENTE. Al implementarse el cálculo se escribe el valor devuelto (sin redondear) y el veredicto aparece solo.</t>
        </is>
      </c>
    </row>
    <row r="27" x14ac:dyDescent="0.2">
      <c r="A27" s="2" t="inlineStr">
        <is>
          <t xml:space="preserve">Tolerancia 0,01 = diferencia máxima aceptada (unidades para pronóstico y MAD; puntos porcentuales para MAPE). Propuesta en la arquitectura; se firma con Industrial en el Anexo B del plan maestro.</t>
        </is>
      </c>
    </row>
  </sheetData>
  <conditionalFormatting sqref="H5:H24">
    <cfRule type="cellIs" dxfId="12" priority="2" operator="equal">
      <formula>"APROBADO"</formula>
    </cfRule>
    <cfRule type="cellIs" dxfId="11" priority="3" operator="equal">
      <formula>"FALLIDO"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2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2" customWidth="1"/>
    <col min="2" max="2" width="52" customWidth="1"/>
    <col min="3" max="3" width="22" customWidth="1"/>
    <col min="4" max="4" width="14" customWidth="1"/>
    <col min="5" max="5" width="11" customWidth="1"/>
    <col min="6" max="6" width="26" customWidth="1"/>
    <col min="7" max="7" width="11" customWidth="1"/>
    <col min="8" max="8" width="18" customWidth="1"/>
    <col min="9" max="9" width="26" customWidth="1"/>
    <col min="10" max="10" width="14" customWidth="1"/>
    <col min="11" max="11" width="16" customWidth="1"/>
  </cols>
  <sheetData>
    <row r="1" ht="18" x14ac:dyDescent="0.2">
      <c r="A1" s="1" t="s">
        <v>266</v>
      </c>
    </row>
    <row r="2" x14ac:dyDescent="0.2">
      <c r="A2" s="2" t="inlineStr">
        <is>
          <t xml:space="preserve">Se alimenta de Requisitos y Catalogo. Se completan a mano: Casos de prueba (lista), Nivel / herramienta y Defectos. El N.º de casos, la cobertura y el estado se calculan.</t>
        </is>
      </c>
    </row>
    <row r="4" ht="31.5" customHeight="1" x14ac:dyDescent="0.2">
      <c r="A4" s="5" t="s">
        <v>33</v>
      </c>
      <c r="B4" s="5" t="s">
        <v>34</v>
      </c>
      <c r="C4" s="5" t="s">
        <v>35</v>
      </c>
      <c r="D4" s="5" t="s">
        <v>36</v>
      </c>
      <c r="E4" s="5" t="s">
        <v>37</v>
      </c>
      <c r="F4" s="5" t="s">
        <v>268</v>
      </c>
      <c r="G4" s="5" t="s">
        <v>269</v>
      </c>
      <c r="H4" s="5" t="s">
        <v>270</v>
      </c>
      <c r="I4" s="5" t="s">
        <v>271</v>
      </c>
      <c r="J4" s="5" t="s">
        <v>272</v>
      </c>
      <c r="K4" s="5" t="s">
        <v>273</v>
      </c>
    </row>
    <row r="5" x14ac:dyDescent="0.2" ht="30" customHeight="1">
      <c r="A5" s="17">
        <f>IF(Requisitos!A5="","",Requisitos!A5)</f>
      </c>
      <c r="B5" s="10">
        <f>IF($A5="","",Requisitos!B5)</f>
      </c>
      <c r="C5" s="8">
        <f>IF($A5="","",Requisitos!C5)</f>
      </c>
      <c r="D5" s="8">
        <f>IF($A5="","",Requisitos!D5)</f>
      </c>
      <c r="E5" s="8">
        <f>IF($A5="","",Requisitos!E5)</f>
      </c>
      <c r="F5" s="6" t="inlineStr">
        <is>
          <t xml:space="preserve">CP-016, CP-017, CP-018, CP-019</t>
        </is>
      </c>
      <c r="G5" s="17">
        <f>IF($A5="","",COUNTIF(Catalogo!$B$5:$B$104,$A5))</f>
      </c>
      <c r="H5" s="17">
        <f>IF($A5="","",IF(G5=0,"SIN COBERTURA","Cubierto"))</f>
      </c>
      <c r="I5" s="6" t="inlineStr">
        <is>
          <t xml:space="preserve">Integración / MockMvc + script API</t>
        </is>
      </c>
      <c r="J5" s="17">
        <f>IF($A5="","",IF(G5=0,"Sin casos",IF(COUNTIFS(Catalogo!$B$5:$B$104,$A5,Catalogo!$M$5:$M$104,"FALLIDO")&gt;0,"Fallido",IF(COUNTIFS(Catalogo!$B$5:$B$104,$A5,Catalogo!$M$5:$M$104,"APROBADO")=G5,"Aprobado","Pendiente"))))</f>
      </c>
      <c r="K5" s="16"/>
    </row>
    <row r="6" x14ac:dyDescent="0.2" ht="30" customHeight="1">
      <c r="A6" s="17">
        <f>IF(Requisitos!A6="","",Requisitos!A6)</f>
      </c>
      <c r="B6" s="10">
        <f>IF($A6="","",Requisitos!B6)</f>
      </c>
      <c r="C6" s="8">
        <f>IF($A6="","",Requisitos!C6)</f>
      </c>
      <c r="D6" s="8">
        <f>IF($A6="","",Requisitos!D6)</f>
      </c>
      <c r="E6" s="8">
        <f>IF($A6="","",Requisitos!E6)</f>
      </c>
      <c r="F6" s="6" t="inlineStr">
        <is>
          <t xml:space="preserve">CP-020, CP-021, CP-022</t>
        </is>
      </c>
      <c r="G6" s="17">
        <f>IF($A6="","",COUNTIF(Catalogo!$B$5:$B$104,$A6))</f>
      </c>
      <c r="H6" s="17">
        <f>IF($A6="","",IF(G6=0,"SIN COBERTURA","Cubierto"))</f>
      </c>
      <c r="I6" s="6" t="inlineStr">
        <is>
          <t xml:space="preserve">Integración / MockMvc</t>
        </is>
      </c>
      <c r="J6" s="17">
        <f>IF($A6="","",IF(G6=0,"Sin casos",IF(COUNTIFS(Catalogo!$B$5:$B$104,$A6,Catalogo!$M$5:$M$104,"FALLIDO")&gt;0,"Fallido",IF(COUNTIFS(Catalogo!$B$5:$B$104,$A6,Catalogo!$M$5:$M$104,"APROBADO")=G6,"Aprobado","Pendiente"))))</f>
      </c>
      <c r="K6" s="16"/>
    </row>
    <row r="7" x14ac:dyDescent="0.2" ht="30" customHeight="1">
      <c r="A7" s="17">
        <f>IF(Requisitos!A7="","",Requisitos!A7)</f>
      </c>
      <c r="B7" s="10">
        <f>IF($A7="","",Requisitos!B7)</f>
      </c>
      <c r="C7" s="8">
        <f>IF($A7="","",Requisitos!C7)</f>
      </c>
      <c r="D7" s="8">
        <f>IF($A7="","",Requisitos!D7)</f>
      </c>
      <c r="E7" s="8">
        <f>IF($A7="","",Requisitos!E7)</f>
      </c>
      <c r="F7" s="6" t="inlineStr">
        <is>
          <t xml:space="preserve">CP-023, CP-024, CP-025</t>
        </is>
      </c>
      <c r="G7" s="17">
        <f>IF($A7="","",COUNTIF(Catalogo!$B$5:$B$104,$A7))</f>
      </c>
      <c r="H7" s="17">
        <f>IF($A7="","",IF(G7=0,"SIN COBERTURA","Cubierto"))</f>
      </c>
      <c r="I7" s="6" t="inlineStr">
        <is>
          <t xml:space="preserve">Integración / MockMvc + script API</t>
        </is>
      </c>
      <c r="J7" s="17">
        <f>IF($A7="","",IF(G7=0,"Sin casos",IF(COUNTIFS(Catalogo!$B$5:$B$104,$A7,Catalogo!$M$5:$M$104,"FALLIDO")&gt;0,"Fallido",IF(COUNTIFS(Catalogo!$B$5:$B$104,$A7,Catalogo!$M$5:$M$104,"APROBADO")=G7,"Aprobado","Pendiente"))))</f>
      </c>
      <c r="K7" s="16"/>
    </row>
    <row r="8" x14ac:dyDescent="0.2" ht="30" customHeight="1">
      <c r="A8" s="17">
        <f>IF(Requisitos!A8="","",Requisitos!A8)</f>
      </c>
      <c r="B8" s="10">
        <f>IF($A8="","",Requisitos!B8)</f>
      </c>
      <c r="C8" s="8">
        <f>IF($A8="","",Requisitos!C8)</f>
      </c>
      <c r="D8" s="8">
        <f>IF($A8="","",Requisitos!D8)</f>
      </c>
      <c r="E8" s="8">
        <f>IF($A8="","",Requisitos!E8)</f>
      </c>
      <c r="F8" s="6" t="inlineStr">
        <is>
          <t xml:space="preserve">CP-026</t>
        </is>
      </c>
      <c r="G8" s="17">
        <f>IF($A8="","",COUNTIF(Catalogo!$B$5:$B$104,$A8))</f>
      </c>
      <c r="H8" s="17">
        <f>IF($A8="","",IF(G8=0,"SIN COBERTURA","Cubierto"))</f>
      </c>
      <c r="I8" s="6" t="inlineStr">
        <is>
          <t xml:space="preserve">Integración / MockMvc + consulta SQL</t>
        </is>
      </c>
      <c r="J8" s="17">
        <f>IF($A8="","",IF(G8=0,"Sin casos",IF(COUNTIFS(Catalogo!$B$5:$B$104,$A8,Catalogo!$M$5:$M$104,"FALLIDO")&gt;0,"Fallido",IF(COUNTIFS(Catalogo!$B$5:$B$104,$A8,Catalogo!$M$5:$M$104,"APROBADO")=G8,"Aprobado","Pendiente"))))</f>
      </c>
      <c r="K8" s="16"/>
    </row>
    <row r="9" x14ac:dyDescent="0.2" ht="30" customHeight="1">
      <c r="A9" s="17">
        <f>IF(Requisitos!A9="","",Requisitos!A9)</f>
      </c>
      <c r="B9" s="10">
        <f>IF($A9="","",Requisitos!B9)</f>
      </c>
      <c r="C9" s="8">
        <f>IF($A9="","",Requisitos!C9)</f>
      </c>
      <c r="D9" s="8">
        <f>IF($A9="","",Requisitos!D9)</f>
      </c>
      <c r="E9" s="8">
        <f>IF($A9="","",Requisitos!E9)</f>
      </c>
      <c r="F9" s="6" t="inlineStr">
        <is>
          <t xml:space="preserve">CP-031</t>
        </is>
      </c>
      <c r="G9" s="17">
        <f>IF($A9="","",COUNTIF(Catalogo!$B$5:$B$104,$A9))</f>
      </c>
      <c r="H9" s="17">
        <f>IF($A9="","",IF(G9=0,"SIN COBERTURA","Cubierto"))</f>
      </c>
      <c r="I9" s="6" t="inlineStr">
        <is>
          <t xml:space="preserve">Integración / MockMvc + script API</t>
        </is>
      </c>
      <c r="J9" s="17">
        <f>IF($A9="","",IF(G9=0,"Sin casos",IF(COUNTIFS(Catalogo!$B$5:$B$104,$A9,Catalogo!$M$5:$M$104,"FALLIDO")&gt;0,"Fallido",IF(COUNTIFS(Catalogo!$B$5:$B$104,$A9,Catalogo!$M$5:$M$104,"APROBADO")=G9,"Aprobado","Pendiente"))))</f>
      </c>
      <c r="K9" s="16"/>
    </row>
    <row r="10" x14ac:dyDescent="0.2" ht="30" customHeight="1">
      <c r="A10" s="17">
        <f>IF(Requisitos!A10="","",Requisitos!A10)</f>
      </c>
      <c r="B10" s="10">
        <f>IF($A10="","",Requisitos!B10)</f>
      </c>
      <c r="C10" s="8">
        <f>IF($A10="","",Requisitos!C10)</f>
      </c>
      <c r="D10" s="8">
        <f>IF($A10="","",Requisitos!D10)</f>
      </c>
      <c r="E10" s="8">
        <f>IF($A10="","",Requisitos!E10)</f>
      </c>
      <c r="F10" s="6" t="inlineStr">
        <is>
          <t xml:space="preserve">CP-012, CP-013, CP-014</t>
        </is>
      </c>
      <c r="G10" s="17">
        <f>IF($A10="","",COUNTIF(Catalogo!$B$5:$B$104,$A10))</f>
      </c>
      <c r="H10" s="17">
        <f>IF($A10="","",IF(G10=0,"SIN COBERTURA","Cubierto"))</f>
      </c>
      <c r="I10" s="6" t="inlineStr">
        <is>
          <t xml:space="preserve">Integración / MockMvc</t>
        </is>
      </c>
      <c r="J10" s="17">
        <f>IF($A10="","",IF(G10=0,"Sin casos",IF(COUNTIFS(Catalogo!$B$5:$B$104,$A10,Catalogo!$M$5:$M$104,"FALLIDO")&gt;0,"Fallido",IF(COUNTIFS(Catalogo!$B$5:$B$104,$A10,Catalogo!$M$5:$M$104,"APROBADO")=G10,"Aprobado","Pendiente"))))</f>
      </c>
      <c r="K10" s="16"/>
    </row>
    <row r="11" x14ac:dyDescent="0.2" ht="30" customHeight="1">
      <c r="A11" s="17">
        <f>IF(Requisitos!A11="","",Requisitos!A11)</f>
      </c>
      <c r="B11" s="10">
        <f>IF($A11="","",Requisitos!B11)</f>
      </c>
      <c r="C11" s="8">
        <f>IF($A11="","",Requisitos!C11)</f>
      </c>
      <c r="D11" s="8">
        <f>IF($A11="","",Requisitos!D11)</f>
      </c>
      <c r="E11" s="8">
        <f>IF($A11="","",Requisitos!E11)</f>
      </c>
      <c r="F11" s="6" t="inlineStr">
        <is>
          <t xml:space="preserve">CP-001, CP-002, CP-003, CP-006, CP-009, CP-010</t>
        </is>
      </c>
      <c r="G11" s="17">
        <f>IF($A11="","",COUNTIF(Catalogo!$B$5:$B$104,$A11))</f>
      </c>
      <c r="H11" s="17">
        <f>IF($A11="","",IF(G11=0,"SIN COBERTURA","Cubierto"))</f>
      </c>
      <c r="I11" s="6" t="inlineStr">
        <is>
          <t xml:space="preserve">Unitaria / JUnit 5</t>
        </is>
      </c>
      <c r="J11" s="17">
        <f>IF($A11="","",IF(G11=0,"Sin casos",IF(COUNTIFS(Catalogo!$B$5:$B$104,$A11,Catalogo!$M$5:$M$104,"FALLIDO")&gt;0,"Fallido",IF(COUNTIFS(Catalogo!$B$5:$B$104,$A11,Catalogo!$M$5:$M$104,"APROBADO")=G11,"Aprobado","Pendiente"))))</f>
      </c>
      <c r="K11" s="16"/>
    </row>
    <row r="12" x14ac:dyDescent="0.2" ht="30" customHeight="1">
      <c r="A12" s="17">
        <f>IF(Requisitos!A12="","",Requisitos!A12)</f>
      </c>
      <c r="B12" s="10">
        <f>IF($A12="","",Requisitos!B12)</f>
      </c>
      <c r="C12" s="8">
        <f>IF($A12="","",Requisitos!C12)</f>
      </c>
      <c r="D12" s="8">
        <f>IF($A12="","",Requisitos!D12)</f>
      </c>
      <c r="E12" s="8">
        <f>IF($A12="","",Requisitos!E12)</f>
      </c>
      <c r="F12" s="6" t="inlineStr">
        <is>
          <t xml:space="preserve">CP-015</t>
        </is>
      </c>
      <c r="G12" s="17">
        <f>IF($A12="","",COUNTIF(Catalogo!$B$5:$B$104,$A12))</f>
      </c>
      <c r="H12" s="17">
        <f>IF($A12="","",IF(G12=0,"SIN COBERTURA","Cubierto"))</f>
      </c>
      <c r="I12" s="6" t="inlineStr">
        <is>
          <t xml:space="preserve">Integración / MockMvc</t>
        </is>
      </c>
      <c r="J12" s="17">
        <f>IF($A12="","",IF(G12=0,"Sin casos",IF(COUNTIFS(Catalogo!$B$5:$B$104,$A12,Catalogo!$M$5:$M$104,"FALLIDO")&gt;0,"Fallido",IF(COUNTIFS(Catalogo!$B$5:$B$104,$A12,Catalogo!$M$5:$M$104,"APROBADO")=G12,"Aprobado","Pendiente"))))</f>
      </c>
      <c r="K12" s="16"/>
    </row>
    <row r="13" x14ac:dyDescent="0.2" ht="30" customHeight="1">
      <c r="A13" s="17">
        <f>IF(Requisitos!A13="","",Requisitos!A13)</f>
      </c>
      <c r="B13" s="10">
        <f>IF($A13="","",Requisitos!B13)</f>
      </c>
      <c r="C13" s="8">
        <f>IF($A13="","",Requisitos!C13)</f>
      </c>
      <c r="D13" s="8">
        <f>IF($A13="","",Requisitos!D13)</f>
      </c>
      <c r="E13" s="8">
        <f>IF($A13="","",Requisitos!E13)</f>
      </c>
      <c r="F13" s="6" t="inlineStr">
        <is>
          <t xml:space="preserve">CP-032</t>
        </is>
      </c>
      <c r="G13" s="17">
        <f>IF($A13="","",COUNTIF(Catalogo!$B$5:$B$104,$A13))</f>
      </c>
      <c r="H13" s="17">
        <f>IF($A13="","",IF(G13=0,"SIN COBERTURA","Cubierto"))</f>
      </c>
      <c r="I13" s="6" t="inlineStr">
        <is>
          <t xml:space="preserve">Integración / MockMvc + script API</t>
        </is>
      </c>
      <c r="J13" s="17">
        <f>IF($A13="","",IF(G13=0,"Sin casos",IF(COUNTIFS(Catalogo!$B$5:$B$104,$A13,Catalogo!$M$5:$M$104,"FALLIDO")&gt;0,"Fallido",IF(COUNTIFS(Catalogo!$B$5:$B$104,$A13,Catalogo!$M$5:$M$104,"APROBADO")=G13,"Aprobado","Pendiente"))))</f>
      </c>
      <c r="K13" s="16"/>
    </row>
    <row r="14" x14ac:dyDescent="0.2" ht="30" customHeight="1">
      <c r="A14" s="17">
        <f>IF(Requisitos!A14="","",Requisitos!A14)</f>
      </c>
      <c r="B14" s="10">
        <f>IF($A14="","",Requisitos!B14)</f>
      </c>
      <c r="C14" s="8">
        <f>IF($A14="","",Requisitos!C14)</f>
      </c>
      <c r="D14" s="8">
        <f>IF($A14="","",Requisitos!D14)</f>
      </c>
      <c r="E14" s="8">
        <f>IF($A14="","",Requisitos!E14)</f>
      </c>
      <c r="F14" s="6" t="inlineStr">
        <is>
          <t xml:space="preserve">CP-004, CP-007</t>
        </is>
      </c>
      <c r="G14" s="17">
        <f>IF($A14="","",COUNTIF(Catalogo!$B$5:$B$104,$A14))</f>
      </c>
      <c r="H14" s="17">
        <f>IF($A14="","",IF(G14=0,"SIN COBERTURA","Cubierto"))</f>
      </c>
      <c r="I14" s="6" t="inlineStr">
        <is>
          <t xml:space="preserve">Unitaria / JUnit 5</t>
        </is>
      </c>
      <c r="J14" s="17">
        <f>IF($A14="","",IF(G14=0,"Sin casos",IF(COUNTIFS(Catalogo!$B$5:$B$104,$A14,Catalogo!$M$5:$M$104,"FALLIDO")&gt;0,"Fallido",IF(COUNTIFS(Catalogo!$B$5:$B$104,$A14,Catalogo!$M$5:$M$104,"APROBADO")=G14,"Aprobado","Pendiente"))))</f>
      </c>
      <c r="K14" s="16"/>
    </row>
    <row r="15" x14ac:dyDescent="0.2" ht="30" customHeight="1">
      <c r="A15" s="17">
        <f>IF(Requisitos!A15="","",Requisitos!A15)</f>
      </c>
      <c r="B15" s="10">
        <f>IF($A15="","",Requisitos!B15)</f>
      </c>
      <c r="C15" s="8">
        <f>IF($A15="","",Requisitos!C15)</f>
      </c>
      <c r="D15" s="8">
        <f>IF($A15="","",Requisitos!D15)</f>
      </c>
      <c r="E15" s="8">
        <f>IF($A15="","",Requisitos!E15)</f>
      </c>
      <c r="F15" s="6" t="inlineStr">
        <is>
          <t xml:space="preserve">CP-005, CP-008, CP-011</t>
        </is>
      </c>
      <c r="G15" s="17">
        <f>IF($A15="","",COUNTIF(Catalogo!$B$5:$B$104,$A15))</f>
      </c>
      <c r="H15" s="17">
        <f>IF($A15="","",IF(G15=0,"SIN COBERTURA","Cubierto"))</f>
      </c>
      <c r="I15" s="6" t="inlineStr">
        <is>
          <t xml:space="preserve">Unitaria / JUnit 5</t>
        </is>
      </c>
      <c r="J15" s="17">
        <f>IF($A15="","",IF(G15=0,"Sin casos",IF(COUNTIFS(Catalogo!$B$5:$B$104,$A15,Catalogo!$M$5:$M$104,"FALLIDO")&gt;0,"Fallido",IF(COUNTIFS(Catalogo!$B$5:$B$104,$A15,Catalogo!$M$5:$M$104,"APROBADO")=G15,"Aprobado","Pendiente"))))</f>
      </c>
      <c r="K15" s="16"/>
    </row>
    <row r="16" x14ac:dyDescent="0.2" ht="30" customHeight="1">
      <c r="A16" s="17">
        <f>IF(Requisitos!A16="","",Requisitos!A16)</f>
      </c>
      <c r="B16" s="10">
        <f>IF($A16="","",Requisitos!B16)</f>
      </c>
      <c r="C16" s="8">
        <f>IF($A16="","",Requisitos!C16)</f>
      </c>
      <c r="D16" s="8">
        <f>IF($A16="","",Requisitos!D16)</f>
      </c>
      <c r="E16" s="8">
        <f>IF($A16="","",Requisitos!E16)</f>
      </c>
      <c r="F16" s="6" t="inlineStr">
        <is>
          <t xml:space="preserve">CP-027, CP-028</t>
        </is>
      </c>
      <c r="G16" s="17">
        <f>IF($A16="","",COUNTIF(Catalogo!$B$5:$B$104,$A16))</f>
      </c>
      <c r="H16" s="17">
        <f>IF($A16="","",IF(G16=0,"SIN COBERTURA","Cubierto"))</f>
      </c>
      <c r="I16" s="6" t="inlineStr">
        <is>
          <t xml:space="preserve">Seguridad / MockMvc + script API</t>
        </is>
      </c>
      <c r="J16" s="17">
        <f>IF($A16="","",IF(G16=0,"Sin casos",IF(COUNTIFS(Catalogo!$B$5:$B$104,$A16,Catalogo!$M$5:$M$104,"FALLIDO")&gt;0,"Fallido",IF(COUNTIFS(Catalogo!$B$5:$B$104,$A16,Catalogo!$M$5:$M$104,"APROBADO")=G16,"Aprobado","Pendiente"))))</f>
      </c>
      <c r="K16" s="16"/>
    </row>
    <row r="17" x14ac:dyDescent="0.2" ht="30" customHeight="1">
      <c r="A17" s="17">
        <f>IF(Requisitos!A17="","",Requisitos!A17)</f>
      </c>
      <c r="B17" s="10">
        <f>IF($A17="","",Requisitos!B17)</f>
      </c>
      <c r="C17" s="8">
        <f>IF($A17="","",Requisitos!C17)</f>
      </c>
      <c r="D17" s="8">
        <f>IF($A17="","",Requisitos!D17)</f>
      </c>
      <c r="E17" s="8">
        <f>IF($A17="","",Requisitos!E17)</f>
      </c>
      <c r="F17" s="6" t="inlineStr">
        <is>
          <t xml:space="preserve">CP-029</t>
        </is>
      </c>
      <c r="G17" s="17">
        <f>IF($A17="","",COUNTIF(Catalogo!$B$5:$B$104,$A17))</f>
      </c>
      <c r="H17" s="17">
        <f>IF($A17="","",IF(G17=0,"SIN COBERTURA","Cubierto"))</f>
      </c>
      <c r="I17" s="6" t="inlineStr">
        <is>
          <t xml:space="preserve">Seguridad / JUnit 5 + consulta SQL</t>
        </is>
      </c>
      <c r="J17" s="17">
        <f>IF($A17="","",IF(G17=0,"Sin casos",IF(COUNTIFS(Catalogo!$B$5:$B$104,$A17,Catalogo!$M$5:$M$104,"FALLIDO")&gt;0,"Fallido",IF(COUNTIFS(Catalogo!$B$5:$B$104,$A17,Catalogo!$M$5:$M$104,"APROBADO")=G17,"Aprobado","Pendiente"))))</f>
      </c>
      <c r="K17" s="16"/>
    </row>
    <row r="18" x14ac:dyDescent="0.2" ht="30" customHeight="1">
      <c r="A18" s="17">
        <f>IF(Requisitos!A18="","",Requisitos!A18)</f>
      </c>
      <c r="B18" s="10">
        <f>IF($A18="","",Requisitos!B18)</f>
      </c>
      <c r="C18" s="8">
        <f>IF($A18="","",Requisitos!C18)</f>
      </c>
      <c r="D18" s="8">
        <f>IF($A18="","",Requisitos!D18)</f>
      </c>
      <c r="E18" s="8">
        <f>IF($A18="","",Requisitos!E18)</f>
      </c>
      <c r="F18" s="6" t="inlineStr">
        <is>
          <t xml:space="preserve">CP-033</t>
        </is>
      </c>
      <c r="G18" s="17">
        <f>IF($A18="","",COUNTIF(Catalogo!$B$5:$B$104,$A18))</f>
      </c>
      <c r="H18" s="17">
        <f>IF($A18="","",IF(G18=0,"SIN COBERTURA","Cubierto"))</f>
      </c>
      <c r="I18" s="6" t="inlineStr">
        <is>
          <t xml:space="preserve">Rendimiento / k6</t>
        </is>
      </c>
      <c r="J18" s="17">
        <f>IF($A18="","",IF(G18=0,"Sin casos",IF(COUNTIFS(Catalogo!$B$5:$B$104,$A18,Catalogo!$M$5:$M$104,"FALLIDO")&gt;0,"Fallido",IF(COUNTIFS(Catalogo!$B$5:$B$104,$A18,Catalogo!$M$5:$M$104,"APROBADO")=G18,"Aprobado","Pendiente"))))</f>
      </c>
      <c r="K18" s="16"/>
    </row>
    <row r="19" x14ac:dyDescent="0.2" ht="30" customHeight="1">
      <c r="A19" s="17">
        <f>IF(Requisitos!A19="","",Requisitos!A19)</f>
      </c>
      <c r="B19" s="10">
        <f>IF($A19="","",Requisitos!B19)</f>
      </c>
      <c r="C19" s="8">
        <f>IF($A19="","",Requisitos!C19)</f>
      </c>
      <c r="D19" s="8">
        <f>IF($A19="","",Requisitos!D19)</f>
      </c>
      <c r="E19" s="8">
        <f>IF($A19="","",Requisitos!E19)</f>
      </c>
      <c r="F19" s="6" t="inlineStr">
        <is>
          <t xml:space="preserve">CP-030</t>
        </is>
      </c>
      <c r="G19" s="17">
        <f>IF($A19="","",COUNTIF(Catalogo!$B$5:$B$104,$A19))</f>
      </c>
      <c r="H19" s="17">
        <f>IF($A19="","",IF(G19=0,"SIN COBERTURA","Cubierto"))</f>
      </c>
      <c r="I19" s="6" t="inlineStr">
        <is>
          <t xml:space="preserve">Integración / MockMvc + script API</t>
        </is>
      </c>
      <c r="J19" s="17">
        <f>IF($A19="","",IF(G19=0,"Sin casos",IF(COUNTIFS(Catalogo!$B$5:$B$104,$A19,Catalogo!$M$5:$M$104,"FALLIDO")&gt;0,"Fallido",IF(COUNTIFS(Catalogo!$B$5:$B$104,$A19,Catalogo!$M$5:$M$104,"APROBADO")=G19,"Aprobado","Pendiente"))))</f>
      </c>
      <c r="K19" s="16"/>
    </row>
    <row r="20" x14ac:dyDescent="0.2" ht="30" customHeight="1">
      <c r="A20" s="17">
        <f>IF(Requisitos!A20="","",Requisitos!A20)</f>
      </c>
      <c r="B20" s="10">
        <f>IF($A20="","",Requisitos!B20)</f>
      </c>
      <c r="C20" s="8">
        <f>IF($A20="","",Requisitos!C20)</f>
      </c>
      <c r="D20" s="8">
        <f>IF($A20="","",Requisitos!D20)</f>
      </c>
      <c r="E20" s="8">
        <f>IF($A20="","",Requisitos!E20)</f>
      </c>
      <c r="F20" s="6" t="inlineStr">
        <is>
          <t xml:space="preserve">CP-034</t>
        </is>
      </c>
      <c r="G20" s="17">
        <f>IF($A20="","",COUNTIF(Catalogo!$B$5:$B$104,$A20))</f>
      </c>
      <c r="H20" s="17">
        <f>IF($A20="","",IF(G20=0,"SIN COBERTURA","Cubierto"))</f>
      </c>
      <c r="I20" s="6" t="inlineStr">
        <is>
          <t xml:space="preserve">Usabilidad / sesión con Industrial</t>
        </is>
      </c>
      <c r="J20" s="17">
        <f>IF($A20="","",IF(G20=0,"Sin casos",IF(COUNTIFS(Catalogo!$B$5:$B$104,$A20,Catalogo!$M$5:$M$104,"FALLIDO")&gt;0,"Fallido",IF(COUNTIFS(Catalogo!$B$5:$B$104,$A20,Catalogo!$M$5:$M$104,"APROBADO")=G20,"Aprobado","Pendiente"))))</f>
      </c>
      <c r="K20" s="16"/>
    </row>
    <row r="21" x14ac:dyDescent="0.2">
      <c r="A21" s="17">
        <f>IF(Requisitos!A21="","",Requisitos!A21)</f>
      </c>
      <c r="B21" s="10">
        <f>IF($A21="","",Requisitos!B21)</f>
      </c>
      <c r="C21" s="8">
        <f>IF($A21="","",Requisitos!C21)</f>
      </c>
      <c r="D21" s="8">
        <f>IF($A21="","",Requisitos!D21)</f>
      </c>
      <c r="E21" s="8">
        <f>IF($A21="","",Requisitos!E21)</f>
      </c>
      <c r="F21" s="6"/>
      <c r="G21" s="17">
        <f>IF($A21="","",COUNTIF(Catalogo!$B$5:$B$104,$A21))</f>
      </c>
      <c r="H21" s="17">
        <f>IF($A21="","",IF(G21=0,"SIN COBERTURA","Cubierto"))</f>
      </c>
      <c r="I21" s="6"/>
      <c r="J21" s="17">
        <f>IF($A21="","",IF(G21=0,"Sin casos",IF(COUNTIFS(Catalogo!$B$5:$B$104,$A21,Catalogo!$M$5:$M$104,"FALLIDO")&gt;0,"Fallido",IF(COUNTIFS(Catalogo!$B$5:$B$104,$A21,Catalogo!$M$5:$M$104,"APROBADO")=G21,"Aprobado","Pendiente"))))</f>
      </c>
      <c r="K21" s="16"/>
    </row>
    <row r="22" x14ac:dyDescent="0.2">
      <c r="A22" s="17">
        <f>IF(Requisitos!A22="","",Requisitos!A22)</f>
      </c>
      <c r="B22" s="10">
        <f>IF($A22="","",Requisitos!B22)</f>
      </c>
      <c r="C22" s="8">
        <f>IF($A22="","",Requisitos!C22)</f>
      </c>
      <c r="D22" s="8">
        <f>IF($A22="","",Requisitos!D22)</f>
      </c>
      <c r="E22" s="8">
        <f>IF($A22="","",Requisitos!E22)</f>
      </c>
      <c r="F22" s="6"/>
      <c r="G22" s="17">
        <f>IF($A22="","",COUNTIF(Catalogo!$B$5:$B$104,$A22))</f>
      </c>
      <c r="H22" s="17">
        <f>IF($A22="","",IF(G22=0,"SIN COBERTURA","Cubierto"))</f>
      </c>
      <c r="I22" s="6"/>
      <c r="J22" s="17">
        <f>IF($A22="","",IF(G22=0,"Sin casos",IF(COUNTIFS(Catalogo!$B$5:$B$104,$A22,Catalogo!$M$5:$M$104,"FALLIDO")&gt;0,"Fallido",IF(COUNTIFS(Catalogo!$B$5:$B$104,$A22,Catalogo!$M$5:$M$104,"APROBADO")=G22,"Aprobado","Pendiente"))))</f>
      </c>
      <c r="K22" s="16"/>
    </row>
    <row r="23" x14ac:dyDescent="0.2">
      <c r="A23" s="17">
        <f>IF(Requisitos!A23="","",Requisitos!A23)</f>
      </c>
      <c r="B23" s="10">
        <f>IF($A23="","",Requisitos!B23)</f>
      </c>
      <c r="C23" s="8">
        <f>IF($A23="","",Requisitos!C23)</f>
      </c>
      <c r="D23" s="8">
        <f>IF($A23="","",Requisitos!D23)</f>
      </c>
      <c r="E23" s="8">
        <f>IF($A23="","",Requisitos!E23)</f>
      </c>
      <c r="F23" s="6"/>
      <c r="G23" s="17">
        <f>IF($A23="","",COUNTIF(Catalogo!$B$5:$B$104,$A23))</f>
      </c>
      <c r="H23" s="17">
        <f>IF($A23="","",IF(G23=0,"SIN COBERTURA","Cubierto"))</f>
      </c>
      <c r="I23" s="6"/>
      <c r="J23" s="17">
        <f>IF($A23="","",IF(G23=0,"Sin casos",IF(COUNTIFS(Catalogo!$B$5:$B$104,$A23,Catalogo!$M$5:$M$104,"FALLIDO")&gt;0,"Fallido",IF(COUNTIFS(Catalogo!$B$5:$B$104,$A23,Catalogo!$M$5:$M$104,"APROBADO")=G23,"Aprobado","Pendiente"))))</f>
      </c>
      <c r="K23" s="16"/>
    </row>
    <row r="24" x14ac:dyDescent="0.2">
      <c r="A24" s="17">
        <f>IF(Requisitos!A24="","",Requisitos!A24)</f>
      </c>
      <c r="B24" s="10">
        <f>IF($A24="","",Requisitos!B24)</f>
      </c>
      <c r="C24" s="8">
        <f>IF($A24="","",Requisitos!C24)</f>
      </c>
      <c r="D24" s="8">
        <f>IF($A24="","",Requisitos!D24)</f>
      </c>
      <c r="E24" s="8">
        <f>IF($A24="","",Requisitos!E24)</f>
      </c>
      <c r="F24" s="6"/>
      <c r="G24" s="17">
        <f>IF($A24="","",COUNTIF(Catalogo!$B$5:$B$104,$A24))</f>
      </c>
      <c r="H24" s="17">
        <f>IF($A24="","",IF(G24=0,"SIN COBERTURA","Cubierto"))</f>
      </c>
      <c r="I24" s="6"/>
      <c r="J24" s="17">
        <f>IF($A24="","",IF(G24=0,"Sin casos",IF(COUNTIFS(Catalogo!$B$5:$B$104,$A24,Catalogo!$M$5:$M$104,"FALLIDO")&gt;0,"Fallido",IF(COUNTIFS(Catalogo!$B$5:$B$104,$A24,Catalogo!$M$5:$M$104,"APROBADO")=G24,"Aprobado","Pendiente"))))</f>
      </c>
      <c r="K24" s="16"/>
    </row>
    <row r="25" x14ac:dyDescent="0.2">
      <c r="A25" s="17">
        <f>IF(Requisitos!A25="","",Requisitos!A25)</f>
      </c>
      <c r="B25" s="10">
        <f>IF($A25="","",Requisitos!B25)</f>
      </c>
      <c r="C25" s="8">
        <f>IF($A25="","",Requisitos!C25)</f>
      </c>
      <c r="D25" s="8">
        <f>IF($A25="","",Requisitos!D25)</f>
      </c>
      <c r="E25" s="8">
        <f>IF($A25="","",Requisitos!E25)</f>
      </c>
      <c r="F25" s="6"/>
      <c r="G25" s="17">
        <f>IF($A25="","",COUNTIF(Catalogo!$B$5:$B$104,$A25))</f>
      </c>
      <c r="H25" s="17">
        <f>IF($A25="","",IF(G25=0,"SIN COBERTURA","Cubierto"))</f>
      </c>
      <c r="I25" s="6"/>
      <c r="J25" s="17">
        <f>IF($A25="","",IF(G25=0,"Sin casos",IF(COUNTIFS(Catalogo!$B$5:$B$104,$A25,Catalogo!$M$5:$M$104,"FALLIDO")&gt;0,"Fallido",IF(COUNTIFS(Catalogo!$B$5:$B$104,$A25,Catalogo!$M$5:$M$104,"APROBADO")=G25,"Aprobado","Pendiente"))))</f>
      </c>
      <c r="K25" s="16"/>
    </row>
    <row r="26" x14ac:dyDescent="0.2">
      <c r="A26" s="17">
        <f>IF(Requisitos!A26="","",Requisitos!A26)</f>
      </c>
      <c r="B26" s="10">
        <f>IF($A26="","",Requisitos!B26)</f>
      </c>
      <c r="C26" s="8">
        <f>IF($A26="","",Requisitos!C26)</f>
      </c>
      <c r="D26" s="8">
        <f>IF($A26="","",Requisitos!D26)</f>
      </c>
      <c r="E26" s="8">
        <f>IF($A26="","",Requisitos!E26)</f>
      </c>
      <c r="F26" s="6"/>
      <c r="G26" s="17">
        <f>IF($A26="","",COUNTIF(Catalogo!$B$5:$B$104,$A26))</f>
      </c>
      <c r="H26" s="17">
        <f>IF($A26="","",IF(G26=0,"SIN COBERTURA","Cubierto"))</f>
      </c>
      <c r="I26" s="6"/>
      <c r="J26" s="17">
        <f>IF($A26="","",IF(G26=0,"Sin casos",IF(COUNTIFS(Catalogo!$B$5:$B$104,$A26,Catalogo!$M$5:$M$104,"FALLIDO")&gt;0,"Fallido",IF(COUNTIFS(Catalogo!$B$5:$B$104,$A26,Catalogo!$M$5:$M$104,"APROBADO")=G26,"Aprobado","Pendiente"))))</f>
      </c>
      <c r="K26" s="16"/>
    </row>
    <row r="27" x14ac:dyDescent="0.2">
      <c r="A27" s="17">
        <f>IF(Requisitos!A27="","",Requisitos!A27)</f>
      </c>
      <c r="B27" s="10">
        <f>IF($A27="","",Requisitos!B27)</f>
      </c>
      <c r="C27" s="8">
        <f>IF($A27="","",Requisitos!C27)</f>
      </c>
      <c r="D27" s="8">
        <f>IF($A27="","",Requisitos!D27)</f>
      </c>
      <c r="E27" s="8">
        <f>IF($A27="","",Requisitos!E27)</f>
      </c>
      <c r="F27" s="6"/>
      <c r="G27" s="17">
        <f>IF($A27="","",COUNTIF(Catalogo!$B$5:$B$104,$A27))</f>
      </c>
      <c r="H27" s="17">
        <f>IF($A27="","",IF(G27=0,"SIN COBERTURA","Cubierto"))</f>
      </c>
      <c r="I27" s="6"/>
      <c r="J27" s="17">
        <f>IF($A27="","",IF(G27=0,"Sin casos",IF(COUNTIFS(Catalogo!$B$5:$B$104,$A27,Catalogo!$M$5:$M$104,"FALLIDO")&gt;0,"Fallido",IF(COUNTIFS(Catalogo!$B$5:$B$104,$A27,Catalogo!$M$5:$M$104,"APROBADO")=G27,"Aprobado","Pendiente"))))</f>
      </c>
      <c r="K27" s="16"/>
    </row>
    <row r="28" x14ac:dyDescent="0.2">
      <c r="A28" s="17">
        <f>IF(Requisitos!A28="","",Requisitos!A28)</f>
      </c>
      <c r="B28" s="10">
        <f>IF($A28="","",Requisitos!B28)</f>
      </c>
      <c r="C28" s="8">
        <f>IF($A28="","",Requisitos!C28)</f>
      </c>
      <c r="D28" s="8">
        <f>IF($A28="","",Requisitos!D28)</f>
      </c>
      <c r="E28" s="8">
        <f>IF($A28="","",Requisitos!E28)</f>
      </c>
      <c r="F28" s="6"/>
      <c r="G28" s="17">
        <f>IF($A28="","",COUNTIF(Catalogo!$B$5:$B$104,$A28))</f>
      </c>
      <c r="H28" s="17">
        <f>IF($A28="","",IF(G28=0,"SIN COBERTURA","Cubierto"))</f>
      </c>
      <c r="I28" s="6"/>
      <c r="J28" s="17">
        <f>IF($A28="","",IF(G28=0,"Sin casos",IF(COUNTIFS(Catalogo!$B$5:$B$104,$A28,Catalogo!$M$5:$M$104,"FALLIDO")&gt;0,"Fallido",IF(COUNTIFS(Catalogo!$B$5:$B$104,$A28,Catalogo!$M$5:$M$104,"APROBADO")=G28,"Aprobado","Pendiente"))))</f>
      </c>
      <c r="K28" s="16"/>
    </row>
    <row r="29" x14ac:dyDescent="0.2">
      <c r="A29" s="17">
        <f>IF(Requisitos!A29="","",Requisitos!A29)</f>
      </c>
      <c r="B29" s="10">
        <f>IF($A29="","",Requisitos!B29)</f>
      </c>
      <c r="C29" s="8">
        <f>IF($A29="","",Requisitos!C29)</f>
      </c>
      <c r="D29" s="8">
        <f>IF($A29="","",Requisitos!D29)</f>
      </c>
      <c r="E29" s="8">
        <f>IF($A29="","",Requisitos!E29)</f>
      </c>
      <c r="F29" s="6"/>
      <c r="G29" s="17">
        <f>IF($A29="","",COUNTIF(Catalogo!$B$5:$B$104,$A29))</f>
      </c>
      <c r="H29" s="17">
        <f>IF($A29="","",IF(G29=0,"SIN COBERTURA","Cubierto"))</f>
      </c>
      <c r="I29" s="6"/>
      <c r="J29" s="17">
        <f>IF($A29="","",IF(G29=0,"Sin casos",IF(COUNTIFS(Catalogo!$B$5:$B$104,$A29,Catalogo!$M$5:$M$104,"FALLIDO")&gt;0,"Fallido",IF(COUNTIFS(Catalogo!$B$5:$B$104,$A29,Catalogo!$M$5:$M$104,"APROBADO")=G29,"Aprobado","Pendiente"))))</f>
      </c>
      <c r="K29" s="16"/>
    </row>
    <row r="30" x14ac:dyDescent="0.2">
      <c r="A30" s="17">
        <f>IF(Requisitos!A30="","",Requisitos!A30)</f>
      </c>
      <c r="B30" s="10">
        <f>IF($A30="","",Requisitos!B30)</f>
      </c>
      <c r="C30" s="8">
        <f>IF($A30="","",Requisitos!C30)</f>
      </c>
      <c r="D30" s="8">
        <f>IF($A30="","",Requisitos!D30)</f>
      </c>
      <c r="E30" s="8">
        <f>IF($A30="","",Requisitos!E30)</f>
      </c>
      <c r="F30" s="6"/>
      <c r="G30" s="17">
        <f>IF($A30="","",COUNTIF(Catalogo!$B$5:$B$104,$A30))</f>
      </c>
      <c r="H30" s="17">
        <f>IF($A30="","",IF(G30=0,"SIN COBERTURA","Cubierto"))</f>
      </c>
      <c r="I30" s="6"/>
      <c r="J30" s="17">
        <f>IF($A30="","",IF(G30=0,"Sin casos",IF(COUNTIFS(Catalogo!$B$5:$B$104,$A30,Catalogo!$M$5:$M$104,"FALLIDO")&gt;0,"Fallido",IF(COUNTIFS(Catalogo!$B$5:$B$104,$A30,Catalogo!$M$5:$M$104,"APROBADO")=G30,"Aprobado","Pendiente"))))</f>
      </c>
      <c r="K30" s="16"/>
    </row>
    <row r="31" x14ac:dyDescent="0.2">
      <c r="A31" s="17">
        <f>IF(Requisitos!A31="","",Requisitos!A31)</f>
      </c>
      <c r="B31" s="10">
        <f>IF($A31="","",Requisitos!B31)</f>
      </c>
      <c r="C31" s="8">
        <f>IF($A31="","",Requisitos!C31)</f>
      </c>
      <c r="D31" s="8">
        <f>IF($A31="","",Requisitos!D31)</f>
      </c>
      <c r="E31" s="8">
        <f>IF($A31="","",Requisitos!E31)</f>
      </c>
      <c r="F31" s="6"/>
      <c r="G31" s="17">
        <f>IF($A31="","",COUNTIF(Catalogo!$B$5:$B$104,$A31))</f>
      </c>
      <c r="H31" s="17">
        <f>IF($A31="","",IF(G31=0,"SIN COBERTURA","Cubierto"))</f>
      </c>
      <c r="I31" s="6"/>
      <c r="J31" s="17">
        <f>IF($A31="","",IF(G31=0,"Sin casos",IF(COUNTIFS(Catalogo!$B$5:$B$104,$A31,Catalogo!$M$5:$M$104,"FALLIDO")&gt;0,"Fallido",IF(COUNTIFS(Catalogo!$B$5:$B$104,$A31,Catalogo!$M$5:$M$104,"APROBADO")=G31,"Aprobado","Pendiente"))))</f>
      </c>
      <c r="K31" s="16"/>
    </row>
    <row r="32" x14ac:dyDescent="0.2">
      <c r="A32" s="17">
        <f>IF(Requisitos!A32="","",Requisitos!A32)</f>
      </c>
      <c r="B32" s="10">
        <f>IF($A32="","",Requisitos!B32)</f>
      </c>
      <c r="C32" s="8">
        <f>IF($A32="","",Requisitos!C32)</f>
      </c>
      <c r="D32" s="8">
        <f>IF($A32="","",Requisitos!D32)</f>
      </c>
      <c r="E32" s="8">
        <f>IF($A32="","",Requisitos!E32)</f>
      </c>
      <c r="F32" s="6"/>
      <c r="G32" s="17">
        <f>IF($A32="","",COUNTIF(Catalogo!$B$5:$B$104,$A32))</f>
      </c>
      <c r="H32" s="17">
        <f>IF($A32="","",IF(G32=0,"SIN COBERTURA","Cubierto"))</f>
      </c>
      <c r="I32" s="6"/>
      <c r="J32" s="17">
        <f>IF($A32="","",IF(G32=0,"Sin casos",IF(COUNTIFS(Catalogo!$B$5:$B$104,$A32,Catalogo!$M$5:$M$104,"FALLIDO")&gt;0,"Fallido",IF(COUNTIFS(Catalogo!$B$5:$B$104,$A32,Catalogo!$M$5:$M$104,"APROBADO")=G32,"Aprobado","Pendiente"))))</f>
      </c>
      <c r="K32" s="16"/>
    </row>
    <row r="33" x14ac:dyDescent="0.2">
      <c r="A33" s="17">
        <f>IF(Requisitos!A33="","",Requisitos!A33)</f>
      </c>
      <c r="B33" s="10">
        <f>IF($A33="","",Requisitos!B33)</f>
      </c>
      <c r="C33" s="8">
        <f>IF($A33="","",Requisitos!C33)</f>
      </c>
      <c r="D33" s="8">
        <f>IF($A33="","",Requisitos!D33)</f>
      </c>
      <c r="E33" s="8">
        <f>IF($A33="","",Requisitos!E33)</f>
      </c>
      <c r="F33" s="6"/>
      <c r="G33" s="17">
        <f>IF($A33="","",COUNTIF(Catalogo!$B$5:$B$104,$A33))</f>
      </c>
      <c r="H33" s="17">
        <f>IF($A33="","",IF(G33=0,"SIN COBERTURA","Cubierto"))</f>
      </c>
      <c r="I33" s="6"/>
      <c r="J33" s="17">
        <f>IF($A33="","",IF(G33=0,"Sin casos",IF(COUNTIFS(Catalogo!$B$5:$B$104,$A33,Catalogo!$M$5:$M$104,"FALLIDO")&gt;0,"Fallido",IF(COUNTIFS(Catalogo!$B$5:$B$104,$A33,Catalogo!$M$5:$M$104,"APROBADO")=G33,"Aprobado","Pendiente"))))</f>
      </c>
      <c r="K33" s="16"/>
    </row>
    <row r="34" x14ac:dyDescent="0.2">
      <c r="A34" s="17">
        <f>IF(Requisitos!A34="","",Requisitos!A34)</f>
      </c>
      <c r="B34" s="10">
        <f>IF($A34="","",Requisitos!B34)</f>
      </c>
      <c r="C34" s="8">
        <f>IF($A34="","",Requisitos!C34)</f>
      </c>
      <c r="D34" s="8">
        <f>IF($A34="","",Requisitos!D34)</f>
      </c>
      <c r="E34" s="8">
        <f>IF($A34="","",Requisitos!E34)</f>
      </c>
      <c r="F34" s="6"/>
      <c r="G34" s="17">
        <f>IF($A34="","",COUNTIF(Catalogo!$B$5:$B$104,$A34))</f>
      </c>
      <c r="H34" s="17">
        <f>IF($A34="","",IF(G34=0,"SIN COBERTURA","Cubierto"))</f>
      </c>
      <c r="I34" s="6"/>
      <c r="J34" s="17">
        <f>IF($A34="","",IF(G34=0,"Sin casos",IF(COUNTIFS(Catalogo!$B$5:$B$104,$A34,Catalogo!$M$5:$M$104,"FALLIDO")&gt;0,"Fallido",IF(COUNTIFS(Catalogo!$B$5:$B$104,$A34,Catalogo!$M$5:$M$104,"APROBADO")=G34,"Aprobado","Pendiente"))))</f>
      </c>
      <c r="K34" s="16"/>
    </row>
    <row r="35" x14ac:dyDescent="0.2">
      <c r="A35" s="17">
        <f>IF(Requisitos!A35="","",Requisitos!A35)</f>
      </c>
      <c r="B35" s="10">
        <f>IF($A35="","",Requisitos!B35)</f>
      </c>
      <c r="C35" s="8">
        <f>IF($A35="","",Requisitos!C35)</f>
      </c>
      <c r="D35" s="8">
        <f>IF($A35="","",Requisitos!D35)</f>
      </c>
      <c r="E35" s="8">
        <f>IF($A35="","",Requisitos!E35)</f>
      </c>
      <c r="F35" s="6"/>
      <c r="G35" s="17">
        <f>IF($A35="","",COUNTIF(Catalogo!$B$5:$B$104,$A35))</f>
      </c>
      <c r="H35" s="17">
        <f>IF($A35="","",IF(G35=0,"SIN COBERTURA","Cubierto"))</f>
      </c>
      <c r="I35" s="6"/>
      <c r="J35" s="17">
        <f>IF($A35="","",IF(G35=0,"Sin casos",IF(COUNTIFS(Catalogo!$B$5:$B$104,$A35,Catalogo!$M$5:$M$104,"FALLIDO")&gt;0,"Fallido",IF(COUNTIFS(Catalogo!$B$5:$B$104,$A35,Catalogo!$M$5:$M$104,"APROBADO")=G35,"Aprobado","Pendiente"))))</f>
      </c>
      <c r="K35" s="16"/>
    </row>
    <row r="36" x14ac:dyDescent="0.2">
      <c r="A36" s="17">
        <f>IF(Requisitos!A36="","",Requisitos!A36)</f>
      </c>
      <c r="B36" s="10">
        <f>IF($A36="","",Requisitos!B36)</f>
      </c>
      <c r="C36" s="8">
        <f>IF($A36="","",Requisitos!C36)</f>
      </c>
      <c r="D36" s="8">
        <f>IF($A36="","",Requisitos!D36)</f>
      </c>
      <c r="E36" s="8">
        <f>IF($A36="","",Requisitos!E36)</f>
      </c>
      <c r="F36" s="6"/>
      <c r="G36" s="17">
        <f>IF($A36="","",COUNTIF(Catalogo!$B$5:$B$104,$A36))</f>
      </c>
      <c r="H36" s="17">
        <f>IF($A36="","",IF(G36=0,"SIN COBERTURA","Cubierto"))</f>
      </c>
      <c r="I36" s="6"/>
      <c r="J36" s="17">
        <f>IF($A36="","",IF(G36=0,"Sin casos",IF(COUNTIFS(Catalogo!$B$5:$B$104,$A36,Catalogo!$M$5:$M$104,"FALLIDO")&gt;0,"Fallido",IF(COUNTIFS(Catalogo!$B$5:$B$104,$A36,Catalogo!$M$5:$M$104,"APROBADO")=G36,"Aprobado","Pendiente"))))</f>
      </c>
      <c r="K36" s="16"/>
    </row>
    <row r="37" x14ac:dyDescent="0.2">
      <c r="A37" s="17">
        <f>IF(Requisitos!A37="","",Requisitos!A37)</f>
      </c>
      <c r="B37" s="10">
        <f>IF($A37="","",Requisitos!B37)</f>
      </c>
      <c r="C37" s="8">
        <f>IF($A37="","",Requisitos!C37)</f>
      </c>
      <c r="D37" s="8">
        <f>IF($A37="","",Requisitos!D37)</f>
      </c>
      <c r="E37" s="8">
        <f>IF($A37="","",Requisitos!E37)</f>
      </c>
      <c r="F37" s="6"/>
      <c r="G37" s="17">
        <f>IF($A37="","",COUNTIF(Catalogo!$B$5:$B$104,$A37))</f>
      </c>
      <c r="H37" s="17">
        <f>IF($A37="","",IF(G37=0,"SIN COBERTURA","Cubierto"))</f>
      </c>
      <c r="I37" s="6"/>
      <c r="J37" s="17">
        <f>IF($A37="","",IF(G37=0,"Sin casos",IF(COUNTIFS(Catalogo!$B$5:$B$104,$A37,Catalogo!$M$5:$M$104,"FALLIDO")&gt;0,"Fallido",IF(COUNTIFS(Catalogo!$B$5:$B$104,$A37,Catalogo!$M$5:$M$104,"APROBADO")=G37,"Aprobado","Pendiente"))))</f>
      </c>
      <c r="K37" s="16"/>
    </row>
    <row r="38" x14ac:dyDescent="0.2">
      <c r="A38" s="17">
        <f>IF(Requisitos!A38="","",Requisitos!A38)</f>
      </c>
      <c r="B38" s="10">
        <f>IF($A38="","",Requisitos!B38)</f>
      </c>
      <c r="C38" s="8">
        <f>IF($A38="","",Requisitos!C38)</f>
      </c>
      <c r="D38" s="8">
        <f>IF($A38="","",Requisitos!D38)</f>
      </c>
      <c r="E38" s="8">
        <f>IF($A38="","",Requisitos!E38)</f>
      </c>
      <c r="F38" s="6"/>
      <c r="G38" s="17">
        <f>IF($A38="","",COUNTIF(Catalogo!$B$5:$B$104,$A38))</f>
      </c>
      <c r="H38" s="17">
        <f>IF($A38="","",IF(G38=0,"SIN COBERTURA","Cubierto"))</f>
      </c>
      <c r="I38" s="6"/>
      <c r="J38" s="17">
        <f>IF($A38="","",IF(G38=0,"Sin casos",IF(COUNTIFS(Catalogo!$B$5:$B$104,$A38,Catalogo!$M$5:$M$104,"FALLIDO")&gt;0,"Fallido",IF(COUNTIFS(Catalogo!$B$5:$B$104,$A38,Catalogo!$M$5:$M$104,"APROBADO")=G38,"Aprobado","Pendiente"))))</f>
      </c>
      <c r="K38" s="16"/>
    </row>
    <row r="39" x14ac:dyDescent="0.2">
      <c r="A39" s="17">
        <f>IF(Requisitos!A39="","",Requisitos!A39)</f>
      </c>
      <c r="B39" s="10">
        <f>IF($A39="","",Requisitos!B39)</f>
      </c>
      <c r="C39" s="8">
        <f>IF($A39="","",Requisitos!C39)</f>
      </c>
      <c r="D39" s="8">
        <f>IF($A39="","",Requisitos!D39)</f>
      </c>
      <c r="E39" s="8">
        <f>IF($A39="","",Requisitos!E39)</f>
      </c>
      <c r="F39" s="6"/>
      <c r="G39" s="17">
        <f>IF($A39="","",COUNTIF(Catalogo!$B$5:$B$104,$A39))</f>
      </c>
      <c r="H39" s="17">
        <f>IF($A39="","",IF(G39=0,"SIN COBERTURA","Cubierto"))</f>
      </c>
      <c r="I39" s="6"/>
      <c r="J39" s="17">
        <f>IF($A39="","",IF(G39=0,"Sin casos",IF(COUNTIFS(Catalogo!$B$5:$B$104,$A39,Catalogo!$M$5:$M$104,"FALLIDO")&gt;0,"Fallido",IF(COUNTIFS(Catalogo!$B$5:$B$104,$A39,Catalogo!$M$5:$M$104,"APROBADO")=G39,"Aprobado","Pendiente"))))</f>
      </c>
      <c r="K39" s="16"/>
    </row>
    <row r="40" x14ac:dyDescent="0.2">
      <c r="A40" s="17">
        <f>IF(Requisitos!A40="","",Requisitos!A40)</f>
      </c>
      <c r="B40" s="10">
        <f>IF($A40="","",Requisitos!B40)</f>
      </c>
      <c r="C40" s="8">
        <f>IF($A40="","",Requisitos!C40)</f>
      </c>
      <c r="D40" s="8">
        <f>IF($A40="","",Requisitos!D40)</f>
      </c>
      <c r="E40" s="8">
        <f>IF($A40="","",Requisitos!E40)</f>
      </c>
      <c r="F40" s="6"/>
      <c r="G40" s="17">
        <f>IF($A40="","",COUNTIF(Catalogo!$B$5:$B$104,$A40))</f>
      </c>
      <c r="H40" s="17">
        <f>IF($A40="","",IF(G40=0,"SIN COBERTURA","Cubierto"))</f>
      </c>
      <c r="I40" s="6"/>
      <c r="J40" s="17">
        <f>IF($A40="","",IF(G40=0,"Sin casos",IF(COUNTIFS(Catalogo!$B$5:$B$104,$A40,Catalogo!$M$5:$M$104,"FALLIDO")&gt;0,"Fallido",IF(COUNTIFS(Catalogo!$B$5:$B$104,$A40,Catalogo!$M$5:$M$104,"APROBADO")=G40,"Aprobado","Pendiente"))))</f>
      </c>
      <c r="K40" s="16"/>
    </row>
    <row r="41" x14ac:dyDescent="0.2">
      <c r="A41" s="17">
        <f>IF(Requisitos!A41="","",Requisitos!A41)</f>
      </c>
      <c r="B41" s="10">
        <f>IF($A41="","",Requisitos!B41)</f>
      </c>
      <c r="C41" s="8">
        <f>IF($A41="","",Requisitos!C41)</f>
      </c>
      <c r="D41" s="8">
        <f>IF($A41="","",Requisitos!D41)</f>
      </c>
      <c r="E41" s="8">
        <f>IF($A41="","",Requisitos!E41)</f>
      </c>
      <c r="F41" s="6"/>
      <c r="G41" s="17">
        <f>IF($A41="","",COUNTIF(Catalogo!$B$5:$B$104,$A41))</f>
      </c>
      <c r="H41" s="17">
        <f>IF($A41="","",IF(G41=0,"SIN COBERTURA","Cubierto"))</f>
      </c>
      <c r="I41" s="6"/>
      <c r="J41" s="17">
        <f>IF($A41="","",IF(G41=0,"Sin casos",IF(COUNTIFS(Catalogo!$B$5:$B$104,$A41,Catalogo!$M$5:$M$104,"FALLIDO")&gt;0,"Fallido",IF(COUNTIFS(Catalogo!$B$5:$B$104,$A41,Catalogo!$M$5:$M$104,"APROBADO")=G41,"Aprobado","Pendiente"))))</f>
      </c>
      <c r="K41" s="16"/>
    </row>
    <row r="42" x14ac:dyDescent="0.2">
      <c r="A42" s="17">
        <f>IF(Requisitos!A42="","",Requisitos!A42)</f>
      </c>
      <c r="B42" s="10">
        <f>IF($A42="","",Requisitos!B42)</f>
      </c>
      <c r="C42" s="8">
        <f>IF($A42="","",Requisitos!C42)</f>
      </c>
      <c r="D42" s="8">
        <f>IF($A42="","",Requisitos!D42)</f>
      </c>
      <c r="E42" s="8">
        <f>IF($A42="","",Requisitos!E42)</f>
      </c>
      <c r="F42" s="6"/>
      <c r="G42" s="17">
        <f>IF($A42="","",COUNTIF(Catalogo!$B$5:$B$104,$A42))</f>
      </c>
      <c r="H42" s="17">
        <f>IF($A42="","",IF(G42=0,"SIN COBERTURA","Cubierto"))</f>
      </c>
      <c r="I42" s="6"/>
      <c r="J42" s="17">
        <f>IF($A42="","",IF(G42=0,"Sin casos",IF(COUNTIFS(Catalogo!$B$5:$B$104,$A42,Catalogo!$M$5:$M$104,"FALLIDO")&gt;0,"Fallido",IF(COUNTIFS(Catalogo!$B$5:$B$104,$A42,Catalogo!$M$5:$M$104,"APROBADO")=G42,"Aprobado","Pendiente"))))</f>
      </c>
      <c r="K42" s="16"/>
    </row>
    <row r="43" x14ac:dyDescent="0.2">
      <c r="A43" s="17">
        <f>IF(Requisitos!A43="","",Requisitos!A43)</f>
      </c>
      <c r="B43" s="10">
        <f>IF($A43="","",Requisitos!B43)</f>
      </c>
      <c r="C43" s="8">
        <f>IF($A43="","",Requisitos!C43)</f>
      </c>
      <c r="D43" s="8">
        <f>IF($A43="","",Requisitos!D43)</f>
      </c>
      <c r="E43" s="8">
        <f>IF($A43="","",Requisitos!E43)</f>
      </c>
      <c r="F43" s="6"/>
      <c r="G43" s="17">
        <f>IF($A43="","",COUNTIF(Catalogo!$B$5:$B$104,$A43))</f>
      </c>
      <c r="H43" s="17">
        <f>IF($A43="","",IF(G43=0,"SIN COBERTURA","Cubierto"))</f>
      </c>
      <c r="I43" s="6"/>
      <c r="J43" s="17">
        <f>IF($A43="","",IF(G43=0,"Sin casos",IF(COUNTIFS(Catalogo!$B$5:$B$104,$A43,Catalogo!$M$5:$M$104,"FALLIDO")&gt;0,"Fallido",IF(COUNTIFS(Catalogo!$B$5:$B$104,$A43,Catalogo!$M$5:$M$104,"APROBADO")=G43,"Aprobado","Pendiente"))))</f>
      </c>
      <c r="K43" s="16"/>
    </row>
    <row r="44" x14ac:dyDescent="0.2">
      <c r="A44" s="17">
        <f>IF(Requisitos!A44="","",Requisitos!A44)</f>
      </c>
      <c r="B44" s="10">
        <f>IF($A44="","",Requisitos!B44)</f>
      </c>
      <c r="C44" s="8">
        <f>IF($A44="","",Requisitos!C44)</f>
      </c>
      <c r="D44" s="8">
        <f>IF($A44="","",Requisitos!D44)</f>
      </c>
      <c r="E44" s="8">
        <f>IF($A44="","",Requisitos!E44)</f>
      </c>
      <c r="F44" s="6"/>
      <c r="G44" s="17">
        <f>IF($A44="","",COUNTIF(Catalogo!$B$5:$B$104,$A44))</f>
      </c>
      <c r="H44" s="17">
        <f>IF($A44="","",IF(G44=0,"SIN COBERTURA","Cubierto"))</f>
      </c>
      <c r="I44" s="6"/>
      <c r="J44" s="17">
        <f>IF($A44="","",IF(G44=0,"Sin casos",IF(COUNTIFS(Catalogo!$B$5:$B$104,$A44,Catalogo!$M$5:$M$104,"FALLIDO")&gt;0,"Fallido",IF(COUNTIFS(Catalogo!$B$5:$B$104,$A44,Catalogo!$M$5:$M$104,"APROBADO")=G44,"Aprobado","Pendiente"))))</f>
      </c>
      <c r="K44" s="16"/>
    </row>
    <row r="45" x14ac:dyDescent="0.2">
      <c r="A45" s="17">
        <f>IF(Requisitos!A45="","",Requisitos!A45)</f>
      </c>
      <c r="B45" s="10">
        <f>IF($A45="","",Requisitos!B45)</f>
      </c>
      <c r="C45" s="8">
        <f>IF($A45="","",Requisitos!C45)</f>
      </c>
      <c r="D45" s="8">
        <f>IF($A45="","",Requisitos!D45)</f>
      </c>
      <c r="E45" s="8">
        <f>IF($A45="","",Requisitos!E45)</f>
      </c>
      <c r="F45" s="6"/>
      <c r="G45" s="17">
        <f>IF($A45="","",COUNTIF(Catalogo!$B$5:$B$104,$A45))</f>
      </c>
      <c r="H45" s="17">
        <f>IF($A45="","",IF(G45=0,"SIN COBERTURA","Cubierto"))</f>
      </c>
      <c r="I45" s="6"/>
      <c r="J45" s="17">
        <f>IF($A45="","",IF(G45=0,"Sin casos",IF(COUNTIFS(Catalogo!$B$5:$B$104,$A45,Catalogo!$M$5:$M$104,"FALLIDO")&gt;0,"Fallido",IF(COUNTIFS(Catalogo!$B$5:$B$104,$A45,Catalogo!$M$5:$M$104,"APROBADO")=G45,"Aprobado","Pendiente"))))</f>
      </c>
      <c r="K45" s="16"/>
    </row>
    <row r="46" x14ac:dyDescent="0.2">
      <c r="A46" s="17">
        <f>IF(Requisitos!A46="","",Requisitos!A46)</f>
      </c>
      <c r="B46" s="10">
        <f>IF($A46="","",Requisitos!B46)</f>
      </c>
      <c r="C46" s="8">
        <f>IF($A46="","",Requisitos!C46)</f>
      </c>
      <c r="D46" s="8">
        <f>IF($A46="","",Requisitos!D46)</f>
      </c>
      <c r="E46" s="8">
        <f>IF($A46="","",Requisitos!E46)</f>
      </c>
      <c r="F46" s="6"/>
      <c r="G46" s="17">
        <f>IF($A46="","",COUNTIF(Catalogo!$B$5:$B$104,$A46))</f>
      </c>
      <c r="H46" s="17">
        <f>IF($A46="","",IF(G46=0,"SIN COBERTURA","Cubierto"))</f>
      </c>
      <c r="I46" s="6"/>
      <c r="J46" s="17">
        <f>IF($A46="","",IF(G46=0,"Sin casos",IF(COUNTIFS(Catalogo!$B$5:$B$104,$A46,Catalogo!$M$5:$M$104,"FALLIDO")&gt;0,"Fallido",IF(COUNTIFS(Catalogo!$B$5:$B$104,$A46,Catalogo!$M$5:$M$104,"APROBADO")=G46,"Aprobado","Pendiente"))))</f>
      </c>
      <c r="K46" s="16"/>
    </row>
    <row r="47" x14ac:dyDescent="0.2">
      <c r="A47" s="17">
        <f>IF(Requisitos!A47="","",Requisitos!A47)</f>
      </c>
      <c r="B47" s="10">
        <f>IF($A47="","",Requisitos!B47)</f>
      </c>
      <c r="C47" s="8">
        <f>IF($A47="","",Requisitos!C47)</f>
      </c>
      <c r="D47" s="8">
        <f>IF($A47="","",Requisitos!D47)</f>
      </c>
      <c r="E47" s="8">
        <f>IF($A47="","",Requisitos!E47)</f>
      </c>
      <c r="F47" s="6"/>
      <c r="G47" s="17">
        <f>IF($A47="","",COUNTIF(Catalogo!$B$5:$B$104,$A47))</f>
      </c>
      <c r="H47" s="17">
        <f>IF($A47="","",IF(G47=0,"SIN COBERTURA","Cubierto"))</f>
      </c>
      <c r="I47" s="6"/>
      <c r="J47" s="17">
        <f>IF($A47="","",IF(G47=0,"Sin casos",IF(COUNTIFS(Catalogo!$B$5:$B$104,$A47,Catalogo!$M$5:$M$104,"FALLIDO")&gt;0,"Fallido",IF(COUNTIFS(Catalogo!$B$5:$B$104,$A47,Catalogo!$M$5:$M$104,"APROBADO")=G47,"Aprobado","Pendiente"))))</f>
      </c>
      <c r="K47" s="16"/>
    </row>
    <row r="48" x14ac:dyDescent="0.2">
      <c r="A48" s="17">
        <f>IF(Requisitos!A48="","",Requisitos!A48)</f>
      </c>
      <c r="B48" s="10">
        <f>IF($A48="","",Requisitos!B48)</f>
      </c>
      <c r="C48" s="8">
        <f>IF($A48="","",Requisitos!C48)</f>
      </c>
      <c r="D48" s="8">
        <f>IF($A48="","",Requisitos!D48)</f>
      </c>
      <c r="E48" s="8">
        <f>IF($A48="","",Requisitos!E48)</f>
      </c>
      <c r="F48" s="6"/>
      <c r="G48" s="17">
        <f>IF($A48="","",COUNTIF(Catalogo!$B$5:$B$104,$A48))</f>
      </c>
      <c r="H48" s="17">
        <f>IF($A48="","",IF(G48=0,"SIN COBERTURA","Cubierto"))</f>
      </c>
      <c r="I48" s="6"/>
      <c r="J48" s="17">
        <f>IF($A48="","",IF(G48=0,"Sin casos",IF(COUNTIFS(Catalogo!$B$5:$B$104,$A48,Catalogo!$M$5:$M$104,"FALLIDO")&gt;0,"Fallido",IF(COUNTIFS(Catalogo!$B$5:$B$104,$A48,Catalogo!$M$5:$M$104,"APROBADO")=G48,"Aprobado","Pendiente"))))</f>
      </c>
      <c r="K48" s="16"/>
    </row>
    <row r="49" x14ac:dyDescent="0.2">
      <c r="A49" s="17">
        <f>IF(Requisitos!A49="","",Requisitos!A49)</f>
      </c>
      <c r="B49" s="10">
        <f>IF($A49="","",Requisitos!B49)</f>
      </c>
      <c r="C49" s="8">
        <f>IF($A49="","",Requisitos!C49)</f>
      </c>
      <c r="D49" s="8">
        <f>IF($A49="","",Requisitos!D49)</f>
      </c>
      <c r="E49" s="8">
        <f>IF($A49="","",Requisitos!E49)</f>
      </c>
      <c r="F49" s="6"/>
      <c r="G49" s="17">
        <f>IF($A49="","",COUNTIF(Catalogo!$B$5:$B$104,$A49))</f>
      </c>
      <c r="H49" s="17">
        <f>IF($A49="","",IF(G49=0,"SIN COBERTURA","Cubierto"))</f>
      </c>
      <c r="I49" s="6"/>
      <c r="J49" s="17">
        <f>IF($A49="","",IF(G49=0,"Sin casos",IF(COUNTIFS(Catalogo!$B$5:$B$104,$A49,Catalogo!$M$5:$M$104,"FALLIDO")&gt;0,"Fallido",IF(COUNTIFS(Catalogo!$B$5:$B$104,$A49,Catalogo!$M$5:$M$104,"APROBADO")=G49,"Aprobado","Pendiente"))))</f>
      </c>
      <c r="K49" s="16"/>
    </row>
    <row r="50" x14ac:dyDescent="0.2">
      <c r="A50" s="17">
        <f>IF(Requisitos!A50="","",Requisitos!A50)</f>
      </c>
      <c r="B50" s="10">
        <f>IF($A50="","",Requisitos!B50)</f>
      </c>
      <c r="C50" s="8">
        <f>IF($A50="","",Requisitos!C50)</f>
      </c>
      <c r="D50" s="8">
        <f>IF($A50="","",Requisitos!D50)</f>
      </c>
      <c r="E50" s="8">
        <f>IF($A50="","",Requisitos!E50)</f>
      </c>
      <c r="F50" s="6"/>
      <c r="G50" s="17">
        <f>IF($A50="","",COUNTIF(Catalogo!$B$5:$B$104,$A50))</f>
      </c>
      <c r="H50" s="17">
        <f>IF($A50="","",IF(G50=0,"SIN COBERTURA","Cubierto"))</f>
      </c>
      <c r="I50" s="6"/>
      <c r="J50" s="17">
        <f>IF($A50="","",IF(G50=0,"Sin casos",IF(COUNTIFS(Catalogo!$B$5:$B$104,$A50,Catalogo!$M$5:$M$104,"FALLIDO")&gt;0,"Fallido",IF(COUNTIFS(Catalogo!$B$5:$B$104,$A50,Catalogo!$M$5:$M$104,"APROBADO")=G50,"Aprobado","Pendiente"))))</f>
      </c>
      <c r="K50" s="16"/>
    </row>
    <row r="51" x14ac:dyDescent="0.2">
      <c r="A51" s="17">
        <f>IF(Requisitos!A51="","",Requisitos!A51)</f>
      </c>
      <c r="B51" s="10">
        <f>IF($A51="","",Requisitos!B51)</f>
      </c>
      <c r="C51" s="8">
        <f>IF($A51="","",Requisitos!C51)</f>
      </c>
      <c r="D51" s="8">
        <f>IF($A51="","",Requisitos!D51)</f>
      </c>
      <c r="E51" s="8">
        <f>IF($A51="","",Requisitos!E51)</f>
      </c>
      <c r="F51" s="6"/>
      <c r="G51" s="17">
        <f>IF($A51="","",COUNTIF(Catalogo!$B$5:$B$104,$A51))</f>
      </c>
      <c r="H51" s="17">
        <f>IF($A51="","",IF(G51=0,"SIN COBERTURA","Cubierto"))</f>
      </c>
      <c r="I51" s="6"/>
      <c r="J51" s="17">
        <f>IF($A51="","",IF(G51=0,"Sin casos",IF(COUNTIFS(Catalogo!$B$5:$B$104,$A51,Catalogo!$M$5:$M$104,"FALLIDO")&gt;0,"Fallido",IF(COUNTIFS(Catalogo!$B$5:$B$104,$A51,Catalogo!$M$5:$M$104,"APROBADO")=G51,"Aprobado","Pendiente"))))</f>
      </c>
      <c r="K51" s="16"/>
    </row>
    <row r="52" x14ac:dyDescent="0.2">
      <c r="A52" s="17">
        <f>IF(Requisitos!A52="","",Requisitos!A52)</f>
      </c>
      <c r="B52" s="10">
        <f>IF($A52="","",Requisitos!B52)</f>
      </c>
      <c r="C52" s="8">
        <f>IF($A52="","",Requisitos!C52)</f>
      </c>
      <c r="D52" s="8">
        <f>IF($A52="","",Requisitos!D52)</f>
      </c>
      <c r="E52" s="8">
        <f>IF($A52="","",Requisitos!E52)</f>
      </c>
      <c r="F52" s="6"/>
      <c r="G52" s="17">
        <f>IF($A52="","",COUNTIF(Catalogo!$B$5:$B$104,$A52))</f>
      </c>
      <c r="H52" s="17">
        <f>IF($A52="","",IF(G52=0,"SIN COBERTURA","Cubierto"))</f>
      </c>
      <c r="I52" s="6"/>
      <c r="J52" s="17">
        <f>IF($A52="","",IF(G52=0,"Sin casos",IF(COUNTIFS(Catalogo!$B$5:$B$104,$A52,Catalogo!$M$5:$M$104,"FALLIDO")&gt;0,"Fallido",IF(COUNTIFS(Catalogo!$B$5:$B$104,$A52,Catalogo!$M$5:$M$104,"APROBADO")=G52,"Aprobado","Pendiente"))))</f>
      </c>
      <c r="K52" s="16"/>
    </row>
    <row r="53" x14ac:dyDescent="0.2">
      <c r="A53" s="17">
        <f>IF(Requisitos!A53="","",Requisitos!A53)</f>
      </c>
      <c r="B53" s="10">
        <f>IF($A53="","",Requisitos!B53)</f>
      </c>
      <c r="C53" s="8">
        <f>IF($A53="","",Requisitos!C53)</f>
      </c>
      <c r="D53" s="8">
        <f>IF($A53="","",Requisitos!D53)</f>
      </c>
      <c r="E53" s="8">
        <f>IF($A53="","",Requisitos!E53)</f>
      </c>
      <c r="F53" s="6"/>
      <c r="G53" s="17">
        <f>IF($A53="","",COUNTIF(Catalogo!$B$5:$B$104,$A53))</f>
      </c>
      <c r="H53" s="17">
        <f>IF($A53="","",IF(G53=0,"SIN COBERTURA","Cubierto"))</f>
      </c>
      <c r="I53" s="6"/>
      <c r="J53" s="17">
        <f>IF($A53="","",IF(G53=0,"Sin casos",IF(COUNTIFS(Catalogo!$B$5:$B$104,$A53,Catalogo!$M$5:$M$104,"FALLIDO")&gt;0,"Fallido",IF(COUNTIFS(Catalogo!$B$5:$B$104,$A53,Catalogo!$M$5:$M$104,"APROBADO")=G53,"Aprobado","Pendiente"))))</f>
      </c>
      <c r="K53" s="16"/>
    </row>
    <row r="54" x14ac:dyDescent="0.2">
      <c r="A54" s="17">
        <f>IF(Requisitos!A54="","",Requisitos!A54)</f>
      </c>
      <c r="B54" s="10">
        <f>IF($A54="","",Requisitos!B54)</f>
      </c>
      <c r="C54" s="8">
        <f>IF($A54="","",Requisitos!C54)</f>
      </c>
      <c r="D54" s="8">
        <f>IF($A54="","",Requisitos!D54)</f>
      </c>
      <c r="E54" s="8">
        <f>IF($A54="","",Requisitos!E54)</f>
      </c>
      <c r="F54" s="6"/>
      <c r="G54" s="17">
        <f>IF($A54="","",COUNTIF(Catalogo!$B$5:$B$104,$A54))</f>
      </c>
      <c r="H54" s="17">
        <f>IF($A54="","",IF(G54=0,"SIN COBERTURA","Cubierto"))</f>
      </c>
      <c r="I54" s="6"/>
      <c r="J54" s="17">
        <f>IF($A54="","",IF(G54=0,"Sin casos",IF(COUNTIFS(Catalogo!$B$5:$B$104,$A54,Catalogo!$M$5:$M$104,"FALLIDO")&gt;0,"Fallido",IF(COUNTIFS(Catalogo!$B$5:$B$104,$A54,Catalogo!$M$5:$M$104,"APROBADO")=G54,"Aprobado","Pendiente"))))</f>
      </c>
      <c r="K54" s="16"/>
    </row>
    <row r="55" x14ac:dyDescent="0.2">
      <c r="A55" s="17">
        <f>IF(Requisitos!A55="","",Requisitos!A55)</f>
      </c>
      <c r="B55" s="10">
        <f>IF($A55="","",Requisitos!B55)</f>
      </c>
      <c r="C55" s="8">
        <f>IF($A55="","",Requisitos!C55)</f>
      </c>
      <c r="D55" s="8">
        <f>IF($A55="","",Requisitos!D55)</f>
      </c>
      <c r="E55" s="8">
        <f>IF($A55="","",Requisitos!E55)</f>
      </c>
      <c r="F55" s="6"/>
      <c r="G55" s="17">
        <f>IF($A55="","",COUNTIF(Catalogo!$B$5:$B$104,$A55))</f>
      </c>
      <c r="H55" s="17">
        <f>IF($A55="","",IF(G55=0,"SIN COBERTURA","Cubierto"))</f>
      </c>
      <c r="I55" s="6"/>
      <c r="J55" s="17">
        <f>IF($A55="","",IF(G55=0,"Sin casos",IF(COUNTIFS(Catalogo!$B$5:$B$104,$A55,Catalogo!$M$5:$M$104,"FALLIDO")&gt;0,"Fallido",IF(COUNTIFS(Catalogo!$B$5:$B$104,$A55,Catalogo!$M$5:$M$104,"APROBADO")=G55,"Aprobado","Pendiente"))))</f>
      </c>
      <c r="K55" s="16"/>
    </row>
    <row r="56" x14ac:dyDescent="0.2">
      <c r="A56" s="17">
        <f>IF(Requisitos!A56="","",Requisitos!A56)</f>
      </c>
      <c r="B56" s="10">
        <f>IF($A56="","",Requisitos!B56)</f>
      </c>
      <c r="C56" s="8">
        <f>IF($A56="","",Requisitos!C56)</f>
      </c>
      <c r="D56" s="8">
        <f>IF($A56="","",Requisitos!D56)</f>
      </c>
      <c r="E56" s="8">
        <f>IF($A56="","",Requisitos!E56)</f>
      </c>
      <c r="F56" s="6"/>
      <c r="G56" s="17">
        <f>IF($A56="","",COUNTIF(Catalogo!$B$5:$B$104,$A56))</f>
      </c>
      <c r="H56" s="17">
        <f>IF($A56="","",IF(G56=0,"SIN COBERTURA","Cubierto"))</f>
      </c>
      <c r="I56" s="6"/>
      <c r="J56" s="17">
        <f>IF($A56="","",IF(G56=0,"Sin casos",IF(COUNTIFS(Catalogo!$B$5:$B$104,$A56,Catalogo!$M$5:$M$104,"FALLIDO")&gt;0,"Fallido",IF(COUNTIFS(Catalogo!$B$5:$B$104,$A56,Catalogo!$M$5:$M$104,"APROBADO")=G56,"Aprobado","Pendiente"))))</f>
      </c>
      <c r="K56" s="16"/>
    </row>
    <row r="57" x14ac:dyDescent="0.2">
      <c r="A57" s="17">
        <f>IF(Requisitos!A57="","",Requisitos!A57)</f>
      </c>
      <c r="B57" s="10">
        <f>IF($A57="","",Requisitos!B57)</f>
      </c>
      <c r="C57" s="8">
        <f>IF($A57="","",Requisitos!C57)</f>
      </c>
      <c r="D57" s="8">
        <f>IF($A57="","",Requisitos!D57)</f>
      </c>
      <c r="E57" s="8">
        <f>IF($A57="","",Requisitos!E57)</f>
      </c>
      <c r="F57" s="6"/>
      <c r="G57" s="17">
        <f>IF($A57="","",COUNTIF(Catalogo!$B$5:$B$104,$A57))</f>
      </c>
      <c r="H57" s="17">
        <f>IF($A57="","",IF(G57=0,"SIN COBERTURA","Cubierto"))</f>
      </c>
      <c r="I57" s="6"/>
      <c r="J57" s="17">
        <f>IF($A57="","",IF(G57=0,"Sin casos",IF(COUNTIFS(Catalogo!$B$5:$B$104,$A57,Catalogo!$M$5:$M$104,"FALLIDO")&gt;0,"Fallido",IF(COUNTIFS(Catalogo!$B$5:$B$104,$A57,Catalogo!$M$5:$M$104,"APROBADO")=G57,"Aprobado","Pendiente"))))</f>
      </c>
      <c r="K57" s="16"/>
    </row>
    <row r="58" x14ac:dyDescent="0.2">
      <c r="A58" s="17">
        <f>IF(Requisitos!A58="","",Requisitos!A58)</f>
      </c>
      <c r="B58" s="10">
        <f>IF($A58="","",Requisitos!B58)</f>
      </c>
      <c r="C58" s="8">
        <f>IF($A58="","",Requisitos!C58)</f>
      </c>
      <c r="D58" s="8">
        <f>IF($A58="","",Requisitos!D58)</f>
      </c>
      <c r="E58" s="8">
        <f>IF($A58="","",Requisitos!E58)</f>
      </c>
      <c r="F58" s="6"/>
      <c r="G58" s="17">
        <f>IF($A58="","",COUNTIF(Catalogo!$B$5:$B$104,$A58))</f>
      </c>
      <c r="H58" s="17">
        <f>IF($A58="","",IF(G58=0,"SIN COBERTURA","Cubierto"))</f>
      </c>
      <c r="I58" s="6"/>
      <c r="J58" s="17">
        <f>IF($A58="","",IF(G58=0,"Sin casos",IF(COUNTIFS(Catalogo!$B$5:$B$104,$A58,Catalogo!$M$5:$M$104,"FALLIDO")&gt;0,"Fallido",IF(COUNTIFS(Catalogo!$B$5:$B$104,$A58,Catalogo!$M$5:$M$104,"APROBADO")=G58,"Aprobado","Pendiente"))))</f>
      </c>
      <c r="K58" s="16"/>
    </row>
    <row r="59" x14ac:dyDescent="0.2">
      <c r="A59" s="17">
        <f>IF(Requisitos!A59="","",Requisitos!A59)</f>
      </c>
      <c r="B59" s="10">
        <f>IF($A59="","",Requisitos!B59)</f>
      </c>
      <c r="C59" s="8">
        <f>IF($A59="","",Requisitos!C59)</f>
      </c>
      <c r="D59" s="8">
        <f>IF($A59="","",Requisitos!D59)</f>
      </c>
      <c r="E59" s="8">
        <f>IF($A59="","",Requisitos!E59)</f>
      </c>
      <c r="F59" s="6"/>
      <c r="G59" s="17">
        <f>IF($A59="","",COUNTIF(Catalogo!$B$5:$B$104,$A59))</f>
      </c>
      <c r="H59" s="17">
        <f>IF($A59="","",IF(G59=0,"SIN COBERTURA","Cubierto"))</f>
      </c>
      <c r="I59" s="6"/>
      <c r="J59" s="17">
        <f>IF($A59="","",IF(G59=0,"Sin casos",IF(COUNTIFS(Catalogo!$B$5:$B$104,$A59,Catalogo!$M$5:$M$104,"FALLIDO")&gt;0,"Fallido",IF(COUNTIFS(Catalogo!$B$5:$B$104,$A59,Catalogo!$M$5:$M$104,"APROBADO")=G59,"Aprobado","Pendiente"))))</f>
      </c>
      <c r="K59" s="16"/>
    </row>
    <row r="60" x14ac:dyDescent="0.2">
      <c r="A60" s="17">
        <f>IF(Requisitos!A60="","",Requisitos!A60)</f>
      </c>
      <c r="B60" s="10">
        <f>IF($A60="","",Requisitos!B60)</f>
      </c>
      <c r="C60" s="8">
        <f>IF($A60="","",Requisitos!C60)</f>
      </c>
      <c r="D60" s="8">
        <f>IF($A60="","",Requisitos!D60)</f>
      </c>
      <c r="E60" s="8">
        <f>IF($A60="","",Requisitos!E60)</f>
      </c>
      <c r="F60" s="6"/>
      <c r="G60" s="17">
        <f>IF($A60="","",COUNTIF(Catalogo!$B$5:$B$104,$A60))</f>
      </c>
      <c r="H60" s="17">
        <f>IF($A60="","",IF(G60=0,"SIN COBERTURA","Cubierto"))</f>
      </c>
      <c r="I60" s="6"/>
      <c r="J60" s="17">
        <f>IF($A60="","",IF(G60=0,"Sin casos",IF(COUNTIFS(Catalogo!$B$5:$B$104,$A60,Catalogo!$M$5:$M$104,"FALLIDO")&gt;0,"Fallido",IF(COUNTIFS(Catalogo!$B$5:$B$104,$A60,Catalogo!$M$5:$M$104,"APROBADO")=G60,"Aprobado","Pendiente"))))</f>
      </c>
      <c r="K60" s="16"/>
    </row>
    <row r="62" x14ac:dyDescent="0.2">
      <c r="A62" s="2" t="inlineStr">
        <is>
          <t xml:space="preserve">Los 16 requisitos tienen al menos un caso. "Pendiente" en Estado significa que el requisito tiene casos BLOQUEADOS o sin ejecutar; ninguno ha fallado.</t>
        </is>
      </c>
    </row>
  </sheetData>
  <conditionalFormatting sqref="H5:H60">
    <cfRule type="cellIs" dxfId="10" priority="2" operator="equal">
      <formula>"SIN COBERTURA"</formula>
    </cfRule>
    <cfRule type="cellIs" dxfId="9" priority="3" operator="equal">
      <formula>"Cubierto"</formula>
    </cfRule>
  </conditionalFormatting>
  <conditionalFormatting sqref="J5:J60">
    <cfRule type="cellIs" dxfId="8" priority="4" operator="equal">
      <formula>"Fallido"</formula>
    </cfRule>
    <cfRule type="cellIs" dxfId="7" priority="5" operator="equal">
      <formula>"Aprobado"</formula>
    </cfRule>
    <cfRule type="cellIs" dxfId="6" priority="6" operator="equal">
      <formula>"Pendiente"</formula>
    </cfRule>
    <cfRule type="cellIs" dxfId="5" priority="7" operator="equal">
      <formula>"Sin casos"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9"/>
  <sheetViews>
    <sheetView zoomScaleNormal="100" workbookViewId="0"/>
  </sheetViews>
  <sheetFormatPr baseColWidth="10" defaultColWidth="8.6640625" defaultRowHeight="15" x14ac:dyDescent="0.2"/>
  <cols>
    <col min="1" max="1" width="46" customWidth="1"/>
    <col min="2" max="2" width="22" customWidth="1"/>
    <col min="3" max="5" width="16" customWidth="1"/>
  </cols>
  <sheetData>
    <row r="1" ht="18" x14ac:dyDescent="0.2">
      <c r="A1" s="1" t="s">
        <v>287</v>
      </c>
    </row>
    <row r="2" x14ac:dyDescent="0.2">
      <c r="A2" s="2" t="s">
        <v>288</v>
      </c>
    </row>
    <row r="4" ht="31.5" customHeight="1" x14ac:dyDescent="0.2">
      <c r="A4" s="5" t="s">
        <v>289</v>
      </c>
      <c r="B4" s="5" t="s">
        <v>90</v>
      </c>
    </row>
    <row r="5" x14ac:dyDescent="0.2">
      <c r="A5" s="10" t="s">
        <v>290</v>
      </c>
      <c r="B5" s="20">
        <f>COUNTA(Requisitos!A5:A60)</f>
      </c>
    </row>
    <row r="6" x14ac:dyDescent="0.2">
      <c r="A6" s="10" t="s">
        <v>291</v>
      </c>
      <c r="B6" s="20">
        <f>COUNTIF(Matriz!G5:G60,"&gt;0")</f>
      </c>
    </row>
    <row r="7" x14ac:dyDescent="0.2">
      <c r="A7" s="10" t="s">
        <v>292</v>
      </c>
      <c r="B7" s="21">
        <f>IF(B5=0,0,B6/B5)</f>
      </c>
    </row>
    <row r="8" x14ac:dyDescent="0.2">
      <c r="A8" s="10" t="s">
        <v>293</v>
      </c>
      <c r="B8" s="20">
        <f>B5-B6</f>
      </c>
    </row>
    <row r="9" x14ac:dyDescent="0.2">
      <c r="A9" s="10" t="s">
        <v>294</v>
      </c>
      <c r="B9" s="20">
        <f>COUNTA(Catalogo!A5:A104)</f>
      </c>
    </row>
    <row r="10" x14ac:dyDescent="0.2">
      <c r="A10" s="10" t="s">
        <v>295</v>
      </c>
      <c r="B10" s="20">
        <f>COUNTIF(Catalogo!E5:E104,"Verificación numérica")</f>
      </c>
    </row>
    <row r="11" x14ac:dyDescent="0.2">
      <c r="A11" s="10" t="s">
        <v>296</v>
      </c>
      <c r="B11" s="20">
        <f>SUMPRODUCT((Catalogo!B5:B104&lt;&gt;"")*(COUNTIF(Requisitos!A5:A60,Catalogo!B5:B104)=0))</f>
      </c>
    </row>
    <row r="12" x14ac:dyDescent="0.2">
      <c r="A12" s="10" t="s">
        <v>297</v>
      </c>
      <c r="B12" s="22">
        <f>IF(B9&gt;=20,"CUMPLE","FALTAN "&amp;(20-B9))</f>
      </c>
    </row>
    <row r="13" x14ac:dyDescent="0.2">
      <c r="A13" s="10" t="s">
        <v>298</v>
      </c>
      <c r="B13" s="22">
        <f>IF(B10&gt;=8,"CUMPLE","FALTAN "&amp;(8-B10))</f>
      </c>
    </row>
    <row r="14" x14ac:dyDescent="0.2">
      <c r="A14" s="10" t="s">
        <v>299</v>
      </c>
      <c r="B14" s="22">
        <f>IF(B5=0,"SIN DATOS",IF(B8=0,"CUMPLE","FALTAN "&amp;B8&amp;" REQUISITO(S)"))</f>
      </c>
    </row>
    <row r="17" ht="31.5" customHeight="1" x14ac:dyDescent="0.2">
      <c r="A17" s="5" t="s">
        <v>35</v>
      </c>
      <c r="B17" s="5" t="s">
        <v>300</v>
      </c>
      <c r="C17" s="5" t="s">
        <v>301</v>
      </c>
      <c r="D17" s="5" t="s">
        <v>302</v>
      </c>
    </row>
    <row r="18" x14ac:dyDescent="0.2">
      <c r="A18" s="10" t="inlineStr">
        <is>
          <t xml:space="preserve">Autenticación y roles</t>
        </is>
      </c>
      <c r="B18" s="8">
        <f>COUNTIF(Requisitos!$C$5:$C$60,A18)</f>
      </c>
      <c r="C18" s="8">
        <f>COUNTIFS(Matriz!$C$5:$C$60,A18,Matriz!$G$5:$G$60,"&gt;0")</f>
      </c>
      <c r="D18" s="23">
        <f>IF(B18=0,"",C18/B18)</f>
      </c>
    </row>
    <row r="19" x14ac:dyDescent="0.2">
      <c r="A19" s="10" t="inlineStr">
        <is>
          <t xml:space="preserve">Históricos</t>
        </is>
      </c>
      <c r="B19" s="8">
        <f>COUNTIF(Requisitos!$C$5:$C$60,A19)</f>
      </c>
      <c r="C19" s="8">
        <f>COUNTIFS(Matriz!$C$5:$C$60,A19,Matriz!$G$5:$G$60,"&gt;0")</f>
      </c>
      <c r="D19" s="23">
        <f>IF(B19=0,"",C19/B19)</f>
      </c>
    </row>
    <row r="20" x14ac:dyDescent="0.2">
      <c r="A20" s="10" t="inlineStr">
        <is>
          <t xml:space="preserve">Pronóstico</t>
        </is>
      </c>
      <c r="B20" s="8">
        <f>COUNTIF(Requisitos!$C$5:$C$60,A20)</f>
      </c>
      <c r="C20" s="8">
        <f>COUNTIFS(Matriz!$C$5:$C$60,A20,Matriz!$G$5:$G$60,"&gt;0")</f>
      </c>
      <c r="D20" s="23">
        <f>IF(B20=0,"",C20/B20)</f>
      </c>
    </row>
    <row r="21" x14ac:dyDescent="0.2">
      <c r="A21" s="10" t="inlineStr">
        <is>
          <t xml:space="preserve">Indicadores</t>
        </is>
      </c>
      <c r="B21" s="8">
        <f>COUNTIF(Requisitos!$C$5:$C$60,A21)</f>
      </c>
      <c r="C21" s="8">
        <f>COUNTIFS(Matriz!$C$5:$C$60,A21,Matriz!$G$5:$G$60,"&gt;0")</f>
      </c>
      <c r="D21" s="23">
        <f>IF(B21=0,"",C21/B21)</f>
      </c>
    </row>
    <row r="22" x14ac:dyDescent="0.2">
      <c r="A22" s="10" t="inlineStr">
        <is>
          <t xml:space="preserve">Transversal</t>
        </is>
      </c>
      <c r="B22" s="8">
        <f>COUNTIF(Requisitos!$C$5:$C$60,A22)</f>
      </c>
      <c r="C22" s="8">
        <f>COUNTIFS(Matriz!$C$5:$C$60,A22,Matriz!$G$5:$G$60,"&gt;0")</f>
      </c>
      <c r="D22" s="23">
        <f>IF(B22=0,"",C22/B22)</f>
      </c>
    </row>
    <row r="25" ht="31.5" customHeight="1" x14ac:dyDescent="0.2">
      <c r="A25" s="5" t="s">
        <v>303</v>
      </c>
      <c r="B25" s="5" t="s">
        <v>304</v>
      </c>
    </row>
    <row r="26" x14ac:dyDescent="0.2">
      <c r="A26" s="10" t="s">
        <v>162</v>
      </c>
      <c r="B26" s="8">
        <f>COUNTIF(Catalogo!$M$5:$M$104,A26)</f>
      </c>
    </row>
    <row r="27" x14ac:dyDescent="0.2">
      <c r="A27" s="10" t="s">
        <v>305</v>
      </c>
      <c r="B27" s="8">
        <f>COUNTIF(Catalogo!$M$5:$M$104,A27)</f>
      </c>
    </row>
    <row r="28" x14ac:dyDescent="0.2">
      <c r="A28" s="10" t="s">
        <v>306</v>
      </c>
      <c r="B28" s="8">
        <f>COUNTIF(Catalogo!$M$5:$M$104,A28)</f>
      </c>
    </row>
    <row r="29" x14ac:dyDescent="0.2">
      <c r="A29" s="10" t="s">
        <v>307</v>
      </c>
      <c r="B29" s="8">
        <f>COUNTIF(Catalogo!$M$5:$M$104,A29)</f>
      </c>
    </row>
  </sheetData>
  <conditionalFormatting sqref="B12:B14">
    <cfRule type="expression" dxfId="4" priority="2">
      <formula>LEFT(B12,6)="CUMPLE"</formula>
    </cfRule>
    <cfRule type="expression" dxfId="3" priority="3">
      <formula>LEFT(B12,6)="FALTAN"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8" customWidth="1"/>
    <col min="2" max="2" width="46" customWidth="1"/>
    <col min="3" max="3" width="22" customWidth="1"/>
    <col min="4" max="4" width="11" customWidth="1"/>
    <col min="5" max="5" width="13" customWidth="1"/>
    <col min="6" max="6" width="11" customWidth="1"/>
    <col min="7" max="7" width="12" customWidth="1"/>
    <col min="8" max="8" width="10" customWidth="1"/>
    <col min="9" max="9" width="46" customWidth="1"/>
    <col min="10" max="10" width="20" customWidth="1"/>
    <col min="11" max="11" width="12" customWidth="1"/>
  </cols>
  <sheetData>
    <row r="1" ht="18" x14ac:dyDescent="0.2">
      <c r="A1" s="1" t="inlineStr">
        <is>
          <t xml:space="preserve">Matriz de riesgos (sección 7 del plan maestro)</t>
        </is>
      </c>
    </row>
    <row r="2" x14ac:dyDescent="0.2">
      <c r="A2" s="2" t="s">
        <v>309</v>
      </c>
    </row>
    <row r="4" ht="31.5" customHeight="1" x14ac:dyDescent="0.2">
      <c r="A4" s="5" t="s">
        <v>310</v>
      </c>
      <c r="B4" s="5" t="s">
        <v>311</v>
      </c>
      <c r="C4" s="5" t="s">
        <v>35</v>
      </c>
      <c r="D4" s="5" t="s">
        <v>36</v>
      </c>
      <c r="E4" s="5" t="s">
        <v>312</v>
      </c>
      <c r="F4" s="5" t="s">
        <v>313</v>
      </c>
      <c r="G4" s="5" t="s">
        <v>314</v>
      </c>
      <c r="H4" s="5" t="s">
        <v>112</v>
      </c>
      <c r="I4" s="5" t="s">
        <v>315</v>
      </c>
      <c r="J4" s="5" t="s">
        <v>316</v>
      </c>
      <c r="K4" s="5" t="s">
        <v>317</v>
      </c>
    </row>
    <row r="5" x14ac:dyDescent="0.2" ht="30" customHeight="1">
      <c r="A5" s="16" t="inlineStr">
        <is>
          <t xml:space="preserve">R-01</t>
        </is>
      </c>
      <c r="B5" s="6" t="inlineStr">
        <is>
          <t xml:space="preserve">MAPE mal calculado cuando el valor real es 0 (división por cero o pares mal excluidos)</t>
        </is>
      </c>
      <c r="C5" s="6" t="inlineStr">
        <is>
          <t xml:space="preserve">Indicadores</t>
        </is>
      </c>
      <c r="D5" s="16" t="inlineStr">
        <is>
          <t xml:space="preserve">Producto</t>
        </is>
      </c>
      <c r="E5" s="16">
        <v>4</v>
      </c>
      <c r="F5" s="16">
        <v>5</v>
      </c>
      <c r="G5" s="17">
        <f>IF(OR(E5="",F5=""),"",E5*F5)</f>
      </c>
      <c r="H5" s="17">
        <f>IF(G5="","",IF(G5&gt;=15,"Alto",IF(G5&gt;=8,"Medio","Bajo")))</f>
      </c>
      <c r="I5" s="6" t="inlineStr">
        <is>
          <t xml:space="preserve">Valores límite y verificación numérica contra Calculo_Referencia</t>
        </is>
      </c>
      <c r="J5" s="6" t="inlineStr">
        <is>
          <t xml:space="preserve">CP-005, CP-008, CP-011</t>
        </is>
      </c>
      <c r="K5" s="16" t="inlineStr">
        <is>
          <t xml:space="preserve">Abierto</t>
        </is>
      </c>
    </row>
    <row r="6" x14ac:dyDescent="0.2" ht="30" customHeight="1">
      <c r="A6" s="16" t="inlineStr">
        <is>
          <t xml:space="preserve">R-02</t>
        </is>
      </c>
      <c r="B6" s="6" t="inlineStr">
        <is>
          <t xml:space="preserve">El promedio móvil usa el dato del periodo que pronostica o redondea antes de tiempo</t>
        </is>
      </c>
      <c r="C6" s="6" t="inlineStr">
        <is>
          <t xml:space="preserve">Pronóstico</t>
        </is>
      </c>
      <c r="D6" s="16" t="inlineStr">
        <is>
          <t xml:space="preserve">Producto</t>
        </is>
      </c>
      <c r="E6" s="16">
        <v>3</v>
      </c>
      <c r="F6" s="16">
        <v>5</v>
      </c>
      <c r="G6" s="17">
        <f>IF(OR(E6="",F6=""),"",E6*F6)</f>
      </c>
      <c r="H6" s="17">
        <f>IF(G6="","",IF(G6&gt;=15,"Alto",IF(G6&gt;=8,"Medio","Bajo")))</f>
      </c>
      <c r="I6" s="6" t="inlineStr">
        <is>
          <t xml:space="preserve">Verificación numérica con tolerancia 0,01 sobre dos series</t>
        </is>
      </c>
      <c r="J6" s="6" t="inlineStr">
        <is>
          <t xml:space="preserve">CP-001 a CP-009</t>
        </is>
      </c>
      <c r="K6" s="16" t="inlineStr">
        <is>
          <t xml:space="preserve">Abierto</t>
        </is>
      </c>
    </row>
    <row r="7" x14ac:dyDescent="0.2" ht="30" customHeight="1">
      <c r="A7" s="16" t="inlineStr">
        <is>
          <t xml:space="preserve">R-03</t>
        </is>
      </c>
      <c r="B7" s="6" t="inlineStr">
        <is>
          <t xml:space="preserve">Acceso indebido por rol (por ejemplo, el administrador modifica históricos)</t>
        </is>
      </c>
      <c r="C7" s="6" t="inlineStr">
        <is>
          <t xml:space="preserve">Autenticación y roles</t>
        </is>
      </c>
      <c r="D7" s="16" t="inlineStr">
        <is>
          <t xml:space="preserve">Producto</t>
        </is>
      </c>
      <c r="E7" s="16">
        <v>3</v>
      </c>
      <c r="F7" s="16">
        <v>5</v>
      </c>
      <c r="G7" s="17">
        <f>IF(OR(E7="",F7=""),"",E7*F7)</f>
      </c>
      <c r="H7" s="17">
        <f>IF(G7="","",IF(G7&gt;=15,"Alto",IF(G7&gt;=8,"Medio","Bajo")))</f>
      </c>
      <c r="I7" s="6" t="inlineStr">
        <is>
          <t xml:space="preserve">Tabla de decisión rol × endpoint automatizada en cada build</t>
        </is>
      </c>
      <c r="J7" s="6" t="inlineStr">
        <is>
          <t xml:space="preserve">CP-023 a CP-025, CP-027</t>
        </is>
      </c>
      <c r="K7" s="16" t="inlineStr">
        <is>
          <t xml:space="preserve">Controlado</t>
        </is>
      </c>
    </row>
    <row r="8" x14ac:dyDescent="0.2" ht="30" customHeight="1">
      <c r="A8" s="16" t="inlineStr">
        <is>
          <t xml:space="preserve">R-04</t>
        </is>
      </c>
      <c r="B8" s="6" t="inlineStr">
        <is>
          <t xml:space="preserve">Sesión o CSRF mal configurados (sesión reutilizable, solicitudes forjadas)</t>
        </is>
      </c>
      <c r="C8" s="6" t="inlineStr">
        <is>
          <t xml:space="preserve">Autenticación y roles</t>
        </is>
      </c>
      <c r="D8" s="16" t="inlineStr">
        <is>
          <t xml:space="preserve">Producto</t>
        </is>
      </c>
      <c r="E8" s="16">
        <v>2</v>
      </c>
      <c r="F8" s="16">
        <v>5</v>
      </c>
      <c r="G8" s="17">
        <f>IF(OR(E8="",F8=""),"",E8*F8)</f>
      </c>
      <c r="H8" s="17">
        <f>IF(G8="","",IF(G8&gt;=15,"Alto",IF(G8&gt;=8,"Medio","Bajo")))</f>
      </c>
      <c r="I8" s="6" t="inlineStr">
        <is>
          <t xml:space="preserve">Pruebas de cierre de sesión, cambio de id y token CSRF</t>
        </is>
      </c>
      <c r="J8" s="6" t="inlineStr">
        <is>
          <t xml:space="preserve">CP-019, CP-022, CP-028</t>
        </is>
      </c>
      <c r="K8" s="16" t="inlineStr">
        <is>
          <t xml:space="preserve">Controlado</t>
        </is>
      </c>
    </row>
    <row r="9" x14ac:dyDescent="0.2" ht="30" customHeight="1">
      <c r="A9" s="16" t="inlineStr">
        <is>
          <t xml:space="preserve">R-05</t>
        </is>
      </c>
      <c r="B9" s="6" t="inlineStr">
        <is>
          <t xml:space="preserve">La carga de históricos acepta negativos o duplicados, o convierte ausentes en 0</t>
        </is>
      </c>
      <c r="C9" s="6" t="inlineStr">
        <is>
          <t xml:space="preserve">Históricos</t>
        </is>
      </c>
      <c r="D9" s="16" t="inlineStr">
        <is>
          <t xml:space="preserve">Producto</t>
        </is>
      </c>
      <c r="E9" s="16">
        <v>3</v>
      </c>
      <c r="F9" s="16">
        <v>4</v>
      </c>
      <c r="G9" s="17">
        <f>IF(OR(E9="",F9=""),"",E9*F9)</f>
      </c>
      <c r="H9" s="17">
        <f>IF(G9="","",IF(G9&gt;=15,"Alto",IF(G9&gt;=8,"Medio","Bajo")))</f>
      </c>
      <c r="I9" s="6" t="inlineStr">
        <is>
          <t xml:space="preserve">Partición de equivalencia y valores límite sobre lotes</t>
        </is>
      </c>
      <c r="J9" s="6" t="inlineStr">
        <is>
          <t xml:space="preserve">CP-012 a CP-014</t>
        </is>
      </c>
      <c r="K9" s="16" t="inlineStr">
        <is>
          <t xml:space="preserve">Abierto</t>
        </is>
      </c>
    </row>
    <row r="10" x14ac:dyDescent="0.2" ht="30" customHeight="1">
      <c r="A10" s="16" t="inlineStr">
        <is>
          <t xml:space="preserve">R-06</t>
        </is>
      </c>
      <c r="B10" s="6" t="inlineStr">
        <is>
          <t xml:space="preserve">Una ejecución deja de explicar su resultado tras corregir el histórico</t>
        </is>
      </c>
      <c r="C10" s="6" t="inlineStr">
        <is>
          <t xml:space="preserve">Pronóstico</t>
        </is>
      </c>
      <c r="D10" s="16" t="inlineStr">
        <is>
          <t xml:space="preserve">Producto</t>
        </is>
      </c>
      <c r="E10" s="16">
        <v>2</v>
      </c>
      <c r="F10" s="16">
        <v>4</v>
      </c>
      <c r="G10" s="17">
        <f>IF(OR(E10="",F10=""),"",E10*F10)</f>
      </c>
      <c r="H10" s="17">
        <f>IF(G10="","",IF(G10&gt;=15,"Alto",IF(G10&gt;=8,"Medio","Bajo")))</f>
      </c>
      <c r="I10" s="6" t="inlineStr">
        <is>
          <t xml:space="preserve">Transición de estados: ejecutar, corregir y volver a consultar</t>
        </is>
      </c>
      <c r="J10" s="6" t="inlineStr">
        <is>
          <t xml:space="preserve">CP-015</t>
        </is>
      </c>
      <c r="K10" s="16" t="inlineStr">
        <is>
          <t xml:space="preserve">Abierto</t>
        </is>
      </c>
    </row>
    <row r="11" x14ac:dyDescent="0.2" ht="30" customHeight="1">
      <c r="A11" s="16" t="inlineStr">
        <is>
          <t xml:space="preserve">R-07</t>
        </is>
      </c>
      <c r="B11" s="6" t="inlineStr">
        <is>
          <t xml:space="preserve">Industrial no valida a tiempo la tolerancia, la política de ceros y los permisos</t>
        </is>
      </c>
      <c r="C11" s="6" t="inlineStr">
        <is>
          <t xml:space="preserve">Transversal</t>
        </is>
      </c>
      <c r="D11" s="16" t="inlineStr">
        <is>
          <t xml:space="preserve">Proyecto</t>
        </is>
      </c>
      <c r="E11" s="16">
        <v>4</v>
      </c>
      <c r="F11" s="16">
        <v>4</v>
      </c>
      <c r="G11" s="17">
        <f>IF(OR(E11="",F11=""),"",E11*F11)</f>
      </c>
      <c r="H11" s="17">
        <f>IF(G11="","",IF(G11&gt;=15,"Alto",IF(G11&gt;=8,"Medio","Bajo")))</f>
      </c>
      <c r="I11" s="6" t="inlineStr">
        <is>
          <t xml:space="preserve">Pedir la firma del Anexo B en el corte 1; marcar las reglas como "a acordar"</t>
        </is>
      </c>
      <c r="J11" s="6" t="inlineStr">
        <is>
          <t xml:space="preserve">—</t>
        </is>
      </c>
      <c r="K11" s="16" t="inlineStr">
        <is>
          <t xml:space="preserve">Abierto</t>
        </is>
      </c>
    </row>
    <row r="12" x14ac:dyDescent="0.2" ht="30" customHeight="1">
      <c r="A12" s="16" t="inlineStr">
        <is>
          <t xml:space="preserve">R-08</t>
        </is>
      </c>
      <c r="B12" s="6" t="inlineStr">
        <is>
          <t xml:space="preserve">El cálculo de pronóstico e indicadores sigue sin implementar al iniciar el corte 2 (501)</t>
        </is>
      </c>
      <c r="C12" s="6" t="inlineStr">
        <is>
          <t xml:space="preserve">Pronóstico</t>
        </is>
      </c>
      <c r="D12" s="16" t="inlineStr">
        <is>
          <t xml:space="preserve">Proyecto</t>
        </is>
      </c>
      <c r="E12" s="16">
        <v>4</v>
      </c>
      <c r="F12" s="16">
        <v>4</v>
      </c>
      <c r="G12" s="17">
        <f>IF(OR(E12="",F12=""),"",E12*F12)</f>
      </c>
      <c r="H12" s="17">
        <f>IF(G12="","",IF(G12&gt;=15,"Alto",IF(G12&gt;=8,"Medio","Bajo")))</f>
      </c>
      <c r="I12" s="6" t="inlineStr">
        <is>
          <t xml:space="preserve">Valores de referencia listos; el script de API reintenta los casos en cuanto exista el endpoint</t>
        </is>
      </c>
      <c r="J12" s="6" t="inlineStr">
        <is>
          <t xml:space="preserve">CP-001 a CP-015, CP-031, CP-032</t>
        </is>
      </c>
      <c r="K12" s="16" t="inlineStr">
        <is>
          <t xml:space="preserve">Abierto</t>
        </is>
      </c>
    </row>
    <row r="13" x14ac:dyDescent="0.2" ht="30" customHeight="1">
      <c r="A13" s="16" t="inlineStr">
        <is>
          <t xml:space="preserve">R-09</t>
        </is>
      </c>
      <c r="B13" s="6" t="inlineStr">
        <is>
          <t xml:space="preserve">Lentitud de las consultas con muchas observaciones</t>
        </is>
      </c>
      <c r="C13" s="6" t="inlineStr">
        <is>
          <t xml:space="preserve">Transversal</t>
        </is>
      </c>
      <c r="D13" s="16" t="inlineStr">
        <is>
          <t xml:space="preserve">Producto</t>
        </is>
      </c>
      <c r="E13" s="16">
        <v>2</v>
      </c>
      <c r="F13" s="16">
        <v>3</v>
      </c>
      <c r="G13" s="17">
        <f>IF(OR(E13="",F13=""),"",E13*F13)</f>
      </c>
      <c r="H13" s="17">
        <f>IF(G13="","",IF(G13&gt;=15,"Alto",IF(G13&gt;=8,"Medio","Bajo")))</f>
      </c>
      <c r="I13" s="6" t="inlineStr">
        <is>
          <t xml:space="preserve">Prueba de carga con k6 en el corte 3</t>
        </is>
      </c>
      <c r="J13" s="6" t="inlineStr">
        <is>
          <t xml:space="preserve">CP-033</t>
        </is>
      </c>
      <c r="K13" s="16" t="inlineStr">
        <is>
          <t xml:space="preserve">Abierto</t>
        </is>
      </c>
    </row>
    <row r="14" x14ac:dyDescent="0.2" ht="30" customHeight="1">
      <c r="A14" s="16" t="inlineStr">
        <is>
          <t xml:space="preserve">R-10</t>
        </is>
      </c>
      <c r="B14" s="6" t="inlineStr">
        <is>
          <t xml:space="preserve">Exposición de datos de la empresa o de credenciales en pruebas y evidencias</t>
        </is>
      </c>
      <c r="C14" s="6" t="inlineStr">
        <is>
          <t xml:space="preserve">Transversal</t>
        </is>
      </c>
      <c r="D14" s="16" t="inlineStr">
        <is>
          <t xml:space="preserve">Proyecto</t>
        </is>
      </c>
      <c r="E14" s="16">
        <v>2</v>
      </c>
      <c r="F14" s="16">
        <v>5</v>
      </c>
      <c r="G14" s="17">
        <f>IF(OR(E14="",F14=""),"",E14*F14)</f>
      </c>
      <c r="H14" s="17">
        <f>IF(G14="","",IF(G14&gt;=15,"Alto",IF(G14&gt;=8,"Medio","Bajo")))</f>
      </c>
      <c r="I14" s="6" t="inlineStr">
        <is>
          <t xml:space="preserve">Series sintéticas o anonimizadas; .env fuera del repositorio; evidencias sin contraseñas</t>
        </is>
      </c>
      <c r="J14" s="6" t="inlineStr">
        <is>
          <t xml:space="preserve">CP-026, CP-029</t>
        </is>
      </c>
      <c r="K14" s="16" t="inlineStr">
        <is>
          <t xml:space="preserve">Controlado</t>
        </is>
      </c>
    </row>
    <row r="15" x14ac:dyDescent="0.2">
      <c r="A15" s="6"/>
      <c r="B15" s="6"/>
      <c r="C15" s="6"/>
      <c r="D15" s="6"/>
      <c r="E15" s="6"/>
      <c r="F15" s="6"/>
      <c r="G15" s="17">
        <f>IF(OR(E15="",F15=""),"",E15*F15)</f>
      </c>
      <c r="H15" s="17">
        <f>IF(G15="","",IF(G15&gt;=15,"Alto",IF(G15&gt;=8,"Medio","Bajo")))</f>
      </c>
      <c r="I15" s="6"/>
      <c r="J15" s="6"/>
      <c r="K15" s="6"/>
    </row>
    <row r="16" x14ac:dyDescent="0.2">
      <c r="A16" s="6"/>
      <c r="B16" s="6"/>
      <c r="C16" s="6"/>
      <c r="D16" s="6"/>
      <c r="E16" s="6"/>
      <c r="F16" s="6"/>
      <c r="G16" s="17">
        <f>IF(OR(E16="",F16=""),"",E16*F16)</f>
      </c>
      <c r="H16" s="17">
        <f>IF(G16="","",IF(G16&gt;=15,"Alto",IF(G16&gt;=8,"Medio","Bajo")))</f>
      </c>
      <c r="I16" s="6"/>
      <c r="J16" s="6"/>
      <c r="K16" s="6"/>
    </row>
    <row r="17" x14ac:dyDescent="0.2">
      <c r="A17" s="6"/>
      <c r="B17" s="6"/>
      <c r="C17" s="6"/>
      <c r="D17" s="6"/>
      <c r="E17" s="6"/>
      <c r="F17" s="6"/>
      <c r="G17" s="17">
        <f>IF(OR(E17="",F17=""),"",E17*F17)</f>
      </c>
      <c r="H17" s="17">
        <f>IF(G17="","",IF(G17&gt;=15,"Alto",IF(G17&gt;=8,"Medio","Bajo")))</f>
      </c>
      <c r="I17" s="6"/>
      <c r="J17" s="6"/>
      <c r="K17" s="6"/>
    </row>
    <row r="18" x14ac:dyDescent="0.2">
      <c r="A18" s="6"/>
      <c r="B18" s="6"/>
      <c r="C18" s="6"/>
      <c r="D18" s="6"/>
      <c r="E18" s="6"/>
      <c r="F18" s="6"/>
      <c r="G18" s="17">
        <f>IF(OR(E18="",F18=""),"",E18*F18)</f>
      </c>
      <c r="H18" s="17">
        <f>IF(G18="","",IF(G18&gt;=15,"Alto",IF(G18&gt;=8,"Medio","Bajo")))</f>
      </c>
      <c r="I18" s="6"/>
      <c r="J18" s="6"/>
      <c r="K18" s="6"/>
    </row>
    <row r="19" x14ac:dyDescent="0.2">
      <c r="A19" s="6"/>
      <c r="B19" s="6"/>
      <c r="C19" s="6"/>
      <c r="D19" s="6"/>
      <c r="E19" s="6"/>
      <c r="F19" s="6"/>
      <c r="G19" s="17">
        <f>IF(OR(E19="",F19=""),"",E19*F19)</f>
      </c>
      <c r="H19" s="17">
        <f>IF(G19="","",IF(G19&gt;=15,"Alto",IF(G19&gt;=8,"Medio","Bajo")))</f>
      </c>
      <c r="I19" s="6"/>
      <c r="J19" s="6"/>
      <c r="K19" s="6"/>
    </row>
    <row r="20" x14ac:dyDescent="0.2">
      <c r="A20" s="6"/>
      <c r="B20" s="6"/>
      <c r="C20" s="6"/>
      <c r="D20" s="6"/>
      <c r="E20" s="6"/>
      <c r="F20" s="6"/>
      <c r="G20" s="17">
        <f>IF(OR(E20="",F20=""),"",E20*F20)</f>
      </c>
      <c r="H20" s="17">
        <f>IF(G20="","",IF(G20&gt;=15,"Alto",IF(G20&gt;=8,"Medio","Bajo")))</f>
      </c>
      <c r="I20" s="6"/>
      <c r="J20" s="6"/>
      <c r="K20" s="6"/>
    </row>
    <row r="21" x14ac:dyDescent="0.2">
      <c r="A21" s="6"/>
      <c r="B21" s="6"/>
      <c r="C21" s="6"/>
      <c r="D21" s="6"/>
      <c r="E21" s="6"/>
      <c r="F21" s="6"/>
      <c r="G21" s="17">
        <f>IF(OR(E21="",F21=""),"",E21*F21)</f>
      </c>
      <c r="H21" s="17">
        <f>IF(G21="","",IF(G21&gt;=15,"Alto",IF(G21&gt;=8,"Medio","Bajo")))</f>
      </c>
      <c r="I21" s="6"/>
      <c r="J21" s="6"/>
      <c r="K21" s="6"/>
    </row>
    <row r="22" x14ac:dyDescent="0.2">
      <c r="A22" s="6"/>
      <c r="B22" s="6"/>
      <c r="C22" s="6"/>
      <c r="D22" s="6"/>
      <c r="E22" s="6"/>
      <c r="F22" s="6"/>
      <c r="G22" s="17">
        <f>IF(OR(E22="",F22=""),"",E22*F22)</f>
      </c>
      <c r="H22" s="17">
        <f>IF(G22="","",IF(G22&gt;=15,"Alto",IF(G22&gt;=8,"Medio","Bajo")))</f>
      </c>
      <c r="I22" s="6"/>
      <c r="J22" s="6"/>
      <c r="K22" s="6"/>
    </row>
    <row r="23" x14ac:dyDescent="0.2">
      <c r="A23" s="6"/>
      <c r="B23" s="6"/>
      <c r="C23" s="6"/>
      <c r="D23" s="6"/>
      <c r="E23" s="6"/>
      <c r="F23" s="6"/>
      <c r="G23" s="17">
        <f>IF(OR(E23="",F23=""),"",E23*F23)</f>
      </c>
      <c r="H23" s="17">
        <f>IF(G23="","",IF(G23&gt;=15,"Alto",IF(G23&gt;=8,"Medio","Bajo")))</f>
      </c>
      <c r="I23" s="6"/>
      <c r="J23" s="6"/>
      <c r="K23" s="6"/>
    </row>
    <row r="24" x14ac:dyDescent="0.2">
      <c r="A24" s="6"/>
      <c r="B24" s="6"/>
      <c r="C24" s="6"/>
      <c r="D24" s="6"/>
      <c r="E24" s="6"/>
      <c r="F24" s="6"/>
      <c r="G24" s="17">
        <f>IF(OR(E24="",F24=""),"",E24*F24)</f>
      </c>
      <c r="H24" s="17">
        <f>IF(G24="","",IF(G24&gt;=15,"Alto",IF(G24&gt;=8,"Medio","Bajo")))</f>
      </c>
      <c r="I24" s="6"/>
      <c r="J24" s="6"/>
      <c r="K24" s="6"/>
    </row>
    <row r="25" x14ac:dyDescent="0.2">
      <c r="A25" s="6"/>
      <c r="B25" s="6"/>
      <c r="C25" s="6"/>
      <c r="D25" s="6"/>
      <c r="E25" s="6"/>
      <c r="F25" s="6"/>
      <c r="G25" s="17">
        <f>IF(OR(E25="",F25=""),"",E25*F25)</f>
      </c>
      <c r="H25" s="17">
        <f>IF(G25="","",IF(G25&gt;=15,"Alto",IF(G25&gt;=8,"Medio","Bajo")))</f>
      </c>
      <c r="I25" s="6"/>
      <c r="J25" s="6"/>
      <c r="K25" s="6"/>
    </row>
    <row r="26" x14ac:dyDescent="0.2">
      <c r="A26" s="6"/>
      <c r="B26" s="6"/>
      <c r="C26" s="6"/>
      <c r="D26" s="6"/>
      <c r="E26" s="6"/>
      <c r="F26" s="6"/>
      <c r="G26" s="17">
        <f>IF(OR(E26="",F26=""),"",E26*F26)</f>
      </c>
      <c r="H26" s="17">
        <f>IF(G26="","",IF(G26&gt;=15,"Alto",IF(G26&gt;=8,"Medio","Bajo")))</f>
      </c>
      <c r="I26" s="6"/>
      <c r="J26" s="6"/>
      <c r="K26" s="6"/>
    </row>
    <row r="27" x14ac:dyDescent="0.2">
      <c r="A27" s="6"/>
      <c r="B27" s="6"/>
      <c r="C27" s="6"/>
      <c r="D27" s="6"/>
      <c r="E27" s="6"/>
      <c r="F27" s="6"/>
      <c r="G27" s="17">
        <f>IF(OR(E27="",F27=""),"",E27*F27)</f>
      </c>
      <c r="H27" s="17">
        <f>IF(G27="","",IF(G27&gt;=15,"Alto",IF(G27&gt;=8,"Medio","Bajo")))</f>
      </c>
      <c r="I27" s="6"/>
      <c r="J27" s="6"/>
      <c r="K27" s="6"/>
    </row>
    <row r="28" x14ac:dyDescent="0.2">
      <c r="A28" s="6"/>
      <c r="B28" s="6"/>
      <c r="C28" s="6"/>
      <c r="D28" s="6"/>
      <c r="E28" s="6"/>
      <c r="F28" s="6"/>
      <c r="G28" s="17">
        <f>IF(OR(E28="",F28=""),"",E28*F28)</f>
      </c>
      <c r="H28" s="17">
        <f>IF(G28="","",IF(G28&gt;=15,"Alto",IF(G28&gt;=8,"Medio","Bajo")))</f>
      </c>
      <c r="I28" s="6"/>
      <c r="J28" s="6"/>
      <c r="K28" s="6"/>
    </row>
    <row r="29" x14ac:dyDescent="0.2">
      <c r="A29" s="6"/>
      <c r="B29" s="6"/>
      <c r="C29" s="6"/>
      <c r="D29" s="6"/>
      <c r="E29" s="6"/>
      <c r="F29" s="6"/>
      <c r="G29" s="17">
        <f>IF(OR(E29="",F29=""),"",E29*F29)</f>
      </c>
      <c r="H29" s="17">
        <f>IF(G29="","",IF(G29&gt;=15,"Alto",IF(G29&gt;=8,"Medio","Bajo")))</f>
      </c>
      <c r="I29" s="6"/>
      <c r="J29" s="6"/>
      <c r="K29" s="6"/>
    </row>
    <row r="30" x14ac:dyDescent="0.2">
      <c r="A30" s="6"/>
      <c r="B30" s="6"/>
      <c r="C30" s="6"/>
      <c r="D30" s="6"/>
      <c r="E30" s="6"/>
      <c r="F30" s="6"/>
      <c r="G30" s="17">
        <f>IF(OR(E30="",F30=""),"",E30*F30)</f>
      </c>
      <c r="H30" s="17">
        <f>IF(G30="","",IF(G30&gt;=15,"Alto",IF(G30&gt;=8,"Medio","Bajo")))</f>
      </c>
      <c r="I30" s="6"/>
      <c r="J30" s="6"/>
      <c r="K30" s="6"/>
    </row>
    <row r="31" x14ac:dyDescent="0.2">
      <c r="A31" s="6"/>
      <c r="B31" s="6"/>
      <c r="C31" s="6"/>
      <c r="D31" s="6"/>
      <c r="E31" s="6"/>
      <c r="F31" s="6"/>
      <c r="G31" s="17">
        <f>IF(OR(E31="",F31=""),"",E31*F31)</f>
      </c>
      <c r="H31" s="17">
        <f>IF(G31="","",IF(G31&gt;=15,"Alto",IF(G31&gt;=8,"Medio","Bajo")))</f>
      </c>
      <c r="I31" s="6"/>
      <c r="J31" s="6"/>
      <c r="K31" s="6"/>
    </row>
    <row r="32" x14ac:dyDescent="0.2">
      <c r="A32" s="6"/>
      <c r="B32" s="6"/>
      <c r="C32" s="6"/>
      <c r="D32" s="6"/>
      <c r="E32" s="6"/>
      <c r="F32" s="6"/>
      <c r="G32" s="17">
        <f>IF(OR(E32="",F32=""),"",E32*F32)</f>
      </c>
      <c r="H32" s="17">
        <f>IF(G32="","",IF(G32&gt;=15,"Alto",IF(G32&gt;=8,"Medio","Bajo")))</f>
      </c>
      <c r="I32" s="6"/>
      <c r="J32" s="6"/>
      <c r="K32" s="6"/>
    </row>
    <row r="33" x14ac:dyDescent="0.2">
      <c r="A33" s="6"/>
      <c r="B33" s="6"/>
      <c r="C33" s="6"/>
      <c r="D33" s="6"/>
      <c r="E33" s="6"/>
      <c r="F33" s="6"/>
      <c r="G33" s="17">
        <f>IF(OR(E33="",F33=""),"",E33*F33)</f>
      </c>
      <c r="H33" s="17">
        <f>IF(G33="","",IF(G33&gt;=15,"Alto",IF(G33&gt;=8,"Medio","Bajo")))</f>
      </c>
      <c r="I33" s="6"/>
      <c r="J33" s="6"/>
      <c r="K33" s="6"/>
    </row>
    <row r="34" x14ac:dyDescent="0.2">
      <c r="A34" s="6"/>
      <c r="B34" s="6"/>
      <c r="C34" s="6"/>
      <c r="D34" s="6"/>
      <c r="E34" s="6"/>
      <c r="F34" s="6"/>
      <c r="G34" s="17">
        <f>IF(OR(E34="",F34=""),"",E34*F34)</f>
      </c>
      <c r="H34" s="17">
        <f>IF(G34="","",IF(G34&gt;=15,"Alto",IF(G34&gt;=8,"Medio","Bajo")))</f>
      </c>
      <c r="I34" s="6"/>
      <c r="J34" s="6"/>
      <c r="K34" s="6"/>
    </row>
    <row r="35" x14ac:dyDescent="0.2">
      <c r="A35" s="6"/>
      <c r="B35" s="6"/>
      <c r="C35" s="6"/>
      <c r="D35" s="6"/>
      <c r="E35" s="6"/>
      <c r="F35" s="6"/>
      <c r="G35" s="17">
        <f>IF(OR(E35="",F35=""),"",E35*F35)</f>
      </c>
      <c r="H35" s="17">
        <f>IF(G35="","",IF(G35&gt;=15,"Alto",IF(G35&gt;=8,"Medio","Bajo")))</f>
      </c>
      <c r="I35" s="6"/>
      <c r="J35" s="6"/>
      <c r="K35" s="6"/>
    </row>
    <row r="36" x14ac:dyDescent="0.2">
      <c r="A36" s="6"/>
      <c r="B36" s="6"/>
      <c r="C36" s="6"/>
      <c r="D36" s="6"/>
      <c r="E36" s="6"/>
      <c r="F36" s="6"/>
      <c r="G36" s="17">
        <f>IF(OR(E36="",F36=""),"",E36*F36)</f>
      </c>
      <c r="H36" s="17">
        <f>IF(G36="","",IF(G36&gt;=15,"Alto",IF(G36&gt;=8,"Medio","Bajo")))</f>
      </c>
      <c r="I36" s="6"/>
      <c r="J36" s="6"/>
      <c r="K36" s="6"/>
    </row>
    <row r="37" x14ac:dyDescent="0.2">
      <c r="A37" s="6"/>
      <c r="B37" s="6"/>
      <c r="C37" s="6"/>
      <c r="D37" s="6"/>
      <c r="E37" s="6"/>
      <c r="F37" s="6"/>
      <c r="G37" s="17">
        <f>IF(OR(E37="",F37=""),"",E37*F37)</f>
      </c>
      <c r="H37" s="17">
        <f>IF(G37="","",IF(G37&gt;=15,"Alto",IF(G37&gt;=8,"Medio","Bajo")))</f>
      </c>
      <c r="I37" s="6"/>
      <c r="J37" s="6"/>
      <c r="K37" s="6"/>
    </row>
    <row r="38" x14ac:dyDescent="0.2">
      <c r="A38" s="6"/>
      <c r="B38" s="6"/>
      <c r="C38" s="6"/>
      <c r="D38" s="6"/>
      <c r="E38" s="6"/>
      <c r="F38" s="6"/>
      <c r="G38" s="17">
        <f>IF(OR(E38="",F38=""),"",E38*F38)</f>
      </c>
      <c r="H38" s="17">
        <f>IF(G38="","",IF(G38&gt;=15,"Alto",IF(G38&gt;=8,"Medio","Bajo")))</f>
      </c>
      <c r="I38" s="6"/>
      <c r="J38" s="6"/>
      <c r="K38" s="6"/>
    </row>
    <row r="39" x14ac:dyDescent="0.2">
      <c r="A39" s="6"/>
      <c r="B39" s="6"/>
      <c r="C39" s="6"/>
      <c r="D39" s="6"/>
      <c r="E39" s="6"/>
      <c r="F39" s="6"/>
      <c r="G39" s="17">
        <f>IF(OR(E39="",F39=""),"",E39*F39)</f>
      </c>
      <c r="H39" s="17">
        <f>IF(G39="","",IF(G39&gt;=15,"Alto",IF(G39&gt;=8,"Medio","Bajo")))</f>
      </c>
      <c r="I39" s="6"/>
      <c r="J39" s="6"/>
      <c r="K39" s="6"/>
    </row>
    <row r="40" x14ac:dyDescent="0.2">
      <c r="A40" s="6"/>
      <c r="B40" s="6"/>
      <c r="C40" s="6"/>
      <c r="D40" s="6"/>
      <c r="E40" s="6"/>
      <c r="F40" s="6"/>
      <c r="G40" s="17">
        <f>IF(OR(E40="",F40=""),"",E40*F40)</f>
      </c>
      <c r="H40" s="17">
        <f>IF(G40="","",IF(G40&gt;=15,"Alto",IF(G40&gt;=8,"Medio","Bajo")))</f>
      </c>
      <c r="I40" s="6"/>
      <c r="J40" s="6"/>
      <c r="K40" s="6"/>
    </row>
    <row r="41" x14ac:dyDescent="0.2">
      <c r="A41" s="6"/>
      <c r="B41" s="6"/>
      <c r="C41" s="6"/>
      <c r="D41" s="6"/>
      <c r="E41" s="6"/>
      <c r="F41" s="6"/>
      <c r="G41" s="17">
        <f>IF(OR(E41="",F41=""),"",E41*F41)</f>
      </c>
      <c r="H41" s="17">
        <f>IF(G41="","",IF(G41&gt;=15,"Alto",IF(G41&gt;=8,"Medio","Bajo")))</f>
      </c>
      <c r="I41" s="6"/>
      <c r="J41" s="6"/>
      <c r="K41" s="6"/>
    </row>
    <row r="42" x14ac:dyDescent="0.2">
      <c r="A42" s="6"/>
      <c r="B42" s="6"/>
      <c r="C42" s="6"/>
      <c r="D42" s="6"/>
      <c r="E42" s="6"/>
      <c r="F42" s="6"/>
      <c r="G42" s="17">
        <f>IF(OR(E42="",F42=""),"",E42*F42)</f>
      </c>
      <c r="H42" s="17">
        <f>IF(G42="","",IF(G42&gt;=15,"Alto",IF(G42&gt;=8,"Medio","Bajo")))</f>
      </c>
      <c r="I42" s="6"/>
      <c r="J42" s="6"/>
      <c r="K42" s="6"/>
    </row>
    <row r="43" x14ac:dyDescent="0.2">
      <c r="A43" s="6"/>
      <c r="B43" s="6"/>
      <c r="C43" s="6"/>
      <c r="D43" s="6"/>
      <c r="E43" s="6"/>
      <c r="F43" s="6"/>
      <c r="G43" s="17">
        <f>IF(OR(E43="",F43=""),"",E43*F43)</f>
      </c>
      <c r="H43" s="17">
        <f>IF(G43="","",IF(G43&gt;=15,"Alto",IF(G43&gt;=8,"Medio","Bajo")))</f>
      </c>
      <c r="I43" s="6"/>
      <c r="J43" s="6"/>
      <c r="K43" s="6"/>
    </row>
    <row r="44" x14ac:dyDescent="0.2">
      <c r="A44" s="6"/>
      <c r="B44" s="6"/>
      <c r="C44" s="6"/>
      <c r="D44" s="6"/>
      <c r="E44" s="6"/>
      <c r="F44" s="6"/>
      <c r="G44" s="17">
        <f>IF(OR(E44="",F44=""),"",E44*F44)</f>
      </c>
      <c r="H44" s="17">
        <f>IF(G44="","",IF(G44&gt;=15,"Alto",IF(G44&gt;=8,"Medio","Bajo")))</f>
      </c>
      <c r="I44" s="6"/>
      <c r="J44" s="6"/>
      <c r="K44" s="6"/>
    </row>
  </sheetData>
  <conditionalFormatting sqref="H5:H44">
    <cfRule type="cellIs" dxfId="2" priority="2" operator="equal">
      <formula>"Alto"</formula>
    </cfRule>
    <cfRule type="cellIs" dxfId="1" priority="3" operator="equal">
      <formula>"Medio"</formula>
    </cfRule>
    <cfRule type="cellIs" dxfId="0" priority="4" operator="equal">
      <formula>"Bajo"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700-000000000000}">
          <x14:formula1>
            <xm:f>Listas!$A$2:$A$6</xm:f>
          </x14:formula1>
          <x14:formula2>
            <xm:f>0</xm:f>
          </x14:formula2>
          <xm:sqref>C5:C44</xm:sqref>
        </x14:dataValidation>
        <x14:dataValidation type="list" allowBlank="1" xr:uid="{00000000-0002-0000-0700-000001000000}">
          <x14:formula1>
            <xm:f>Listas!$G$2:$G$3</xm:f>
          </x14:formula1>
          <x14:formula2>
            <xm:f>0</xm:f>
          </x14:formula2>
          <xm:sqref>D5:D44</xm:sqref>
        </x14:dataValidation>
        <x14:dataValidation type="list" allowBlank="1" xr:uid="{00000000-0002-0000-0700-000002000000}">
          <x14:formula1>
            <xm:f>Listas!$H$2:$H$6</xm:f>
          </x14:formula1>
          <x14:formula2>
            <xm:f>0</xm:f>
          </x14:formula2>
          <xm:sqref>E5:F44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zoomScaleNormal="100" workbookViewId="0"/>
  </sheetViews>
  <sheetFormatPr baseColWidth="10" defaultColWidth="8.6640625" defaultRowHeight="15" x14ac:dyDescent="0.2"/>
  <cols>
    <col min="1" max="8" width="26" customWidth="1"/>
  </cols>
  <sheetData>
    <row r="1" x14ac:dyDescent="0.2">
      <c r="A1" s="24" t="s">
        <v>35</v>
      </c>
      <c r="B1" s="24" t="s">
        <v>36</v>
      </c>
      <c r="C1" s="24" t="s">
        <v>37</v>
      </c>
      <c r="D1" s="24" t="s">
        <v>112</v>
      </c>
      <c r="E1" s="24" t="s">
        <v>113</v>
      </c>
      <c r="F1" s="24" t="s">
        <v>120</v>
      </c>
      <c r="G1" s="24" t="s">
        <v>356</v>
      </c>
      <c r="H1" s="24" t="s">
        <v>357</v>
      </c>
    </row>
    <row r="2" x14ac:dyDescent="0.2">
      <c r="A2" s="25" t="inlineStr">
        <is>
          <t xml:space="preserve">Autenticación y roles</t>
        </is>
      </c>
      <c r="B2" s="25" t="s">
        <v>41</v>
      </c>
      <c r="C2" s="25" t="s">
        <v>42</v>
      </c>
      <c r="D2" s="25" t="s">
        <v>125</v>
      </c>
      <c r="E2" s="25" t="s">
        <v>126</v>
      </c>
      <c r="F2" s="25" t="s">
        <v>162</v>
      </c>
      <c r="G2" s="25" t="s">
        <v>320</v>
      </c>
      <c r="H2" s="25">
        <v>1</v>
      </c>
    </row>
    <row r="3" x14ac:dyDescent="0.2">
      <c r="A3" s="25" t="inlineStr">
        <is>
          <t xml:space="preserve">Históricos</t>
        </is>
      </c>
      <c r="B3" s="25" t="s">
        <v>73</v>
      </c>
      <c r="C3" s="25" t="s">
        <v>47</v>
      </c>
      <c r="D3" s="25" t="s">
        <v>181</v>
      </c>
      <c r="E3" s="25" t="s">
        <v>213</v>
      </c>
      <c r="F3" s="25" t="s">
        <v>305</v>
      </c>
      <c r="G3" s="25" t="s">
        <v>347</v>
      </c>
      <c r="H3" s="25">
        <v>2</v>
      </c>
    </row>
    <row r="4" x14ac:dyDescent="0.2">
      <c r="A4" s="25" t="inlineStr">
        <is>
          <t xml:space="preserve">Pronóstico</t>
        </is>
      </c>
      <c r="C4" s="25" t="s">
        <v>358</v>
      </c>
      <c r="D4" s="25" t="s">
        <v>230</v>
      </c>
      <c r="E4" s="25" t="s">
        <v>156</v>
      </c>
      <c r="F4" s="25" t="s">
        <v>306</v>
      </c>
      <c r="H4" s="25">
        <v>3</v>
      </c>
    </row>
    <row r="5" x14ac:dyDescent="0.2">
      <c r="A5" s="25" t="inlineStr">
        <is>
          <t xml:space="preserve">Indicadores</t>
        </is>
      </c>
      <c r="D5" s="25" t="s">
        <v>359</v>
      </c>
      <c r="E5" s="25" t="s">
        <v>182</v>
      </c>
      <c r="F5" s="25" t="s">
        <v>307</v>
      </c>
      <c r="H5" s="25">
        <v>4</v>
      </c>
    </row>
    <row r="6" x14ac:dyDescent="0.2">
      <c r="A6" s="25" t="inlineStr">
        <is>
          <t xml:space="preserve">Transversal</t>
        </is>
      </c>
      <c r="D6" s="25" t="s">
        <v>242</v>
      </c>
      <c r="E6" s="25" t="s">
        <v>360</v>
      </c>
      <c r="H6" s="25">
        <v>5</v>
      </c>
    </row>
    <row r="7" x14ac:dyDescent="0.2">
      <c r="D7" s="25" t="s">
        <v>193</v>
      </c>
      <c r="E7" s="25" t="s">
        <v>361</v>
      </c>
    </row>
    <row r="8" x14ac:dyDescent="0.2">
      <c r="D8" s="25" t="s">
        <v>362</v>
      </c>
      <c r="E8" s="25" t="s">
        <v>231</v>
      </c>
    </row>
    <row r="9" x14ac:dyDescent="0.2">
      <c r="E9" s="25" t="s">
        <v>363</v>
      </c>
    </row>
    <row r="10" x14ac:dyDescent="0.2">
      <c r="A10" s="2" t="s">
        <v>364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Instrucciones</vt:lpstr>
      <vt:lpstr>Requisitos</vt:lpstr>
      <vt:lpstr>Calculo_Referencia</vt:lpstr>
      <vt:lpstr>Catalogo</vt:lpstr>
      <vt:lpstr>Verificacion</vt:lpstr>
      <vt:lpstr>Matriz</vt:lpstr>
      <vt:lpstr>Cobertura</vt:lpstr>
      <vt:lpstr>Riesgos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Catálogo de casos y matriz de trazabilidad · Sierra Alta</dc:title>
  <dc:subject/>
  <dc:creator>openpyxl</dc:creator>
  <dc:description/>
  <cp:lastModifiedBy>Jose Alfredo Ramirez Espinosa</cp:lastModifiedBy>
  <cp:revision>1</cp:revision>
  <dcterms:created xsi:type="dcterms:W3CDTF">2026-10-15T19:20:21Z</dcterms:created>
  <dcterms:modified xsi:type="dcterms:W3CDTF">2026-10-22T20:00:00Z</dcterms:modified>
  <dc:language>en-US</dc:language>
</cp:coreProperties>
</file>