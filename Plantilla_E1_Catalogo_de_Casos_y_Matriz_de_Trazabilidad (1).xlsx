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ose/Downloads/"/>
    </mc:Choice>
  </mc:AlternateContent>
  <xr:revisionPtr revIDLastSave="0" documentId="11_D488148A3F716E0EC727C5C895D04888A67D960C" xr6:coauthVersionLast="47" xr6:coauthVersionMax="47" xr10:uidLastSave="{00000000-0000-0000-0000-000000000000}"/>
  <bookViews>
    <workbookView xWindow="0" yWindow="660" windowWidth="34560" windowHeight="20280" tabRatio="500" activeTab="2" xr2:uid="{00000000-000D-0000-FFFF-FFFF00000000}"/>
  </bookViews>
  <sheets>
    <sheet name="Instrucciones" sheetId="1" r:id="rId1"/>
    <sheet name="Requisitos" sheetId="2" r:id="rId2"/>
    <sheet name="Calculo_Referencia" sheetId="3" r:id="rId3"/>
    <sheet name="Catalogo" sheetId="4" r:id="rId4"/>
    <sheet name="Verificacion" sheetId="5" r:id="rId5"/>
    <sheet name="Matriz" sheetId="6" r:id="rId6"/>
    <sheet name="Cobertura" sheetId="7" r:id="rId7"/>
    <sheet name="Riesgos" sheetId="8" r:id="rId8"/>
    <sheet name="Lista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4" i="8" l="1"/>
  <c r="H44" i="8" s="1"/>
  <c r="G43" i="8"/>
  <c r="H43" i="8" s="1"/>
  <c r="G42" i="8"/>
  <c r="H42" i="8" s="1"/>
  <c r="G41" i="8"/>
  <c r="H41" i="8" s="1"/>
  <c r="H40" i="8"/>
  <c r="G40" i="8"/>
  <c r="G39" i="8"/>
  <c r="H39" i="8" s="1"/>
  <c r="G38" i="8"/>
  <c r="H38" i="8" s="1"/>
  <c r="H37" i="8"/>
  <c r="G37" i="8"/>
  <c r="H36" i="8"/>
  <c r="G36" i="8"/>
  <c r="G35" i="8"/>
  <c r="H35" i="8" s="1"/>
  <c r="G34" i="8"/>
  <c r="H34" i="8" s="1"/>
  <c r="G33" i="8"/>
  <c r="H33" i="8" s="1"/>
  <c r="G32" i="8"/>
  <c r="H32" i="8" s="1"/>
  <c r="H31" i="8"/>
  <c r="G31" i="8"/>
  <c r="G30" i="8"/>
  <c r="H30" i="8" s="1"/>
  <c r="G29" i="8"/>
  <c r="H29" i="8" s="1"/>
  <c r="H28" i="8"/>
  <c r="G28" i="8"/>
  <c r="H27" i="8"/>
  <c r="G27" i="8"/>
  <c r="G26" i="8"/>
  <c r="H26" i="8" s="1"/>
  <c r="G25" i="8"/>
  <c r="H25" i="8" s="1"/>
  <c r="G24" i="8"/>
  <c r="H24" i="8" s="1"/>
  <c r="G23" i="8"/>
  <c r="H23" i="8" s="1"/>
  <c r="H22" i="8"/>
  <c r="G22" i="8"/>
  <c r="G21" i="8"/>
  <c r="H21" i="8" s="1"/>
  <c r="G20" i="8"/>
  <c r="H20" i="8" s="1"/>
  <c r="H19" i="8"/>
  <c r="G19" i="8"/>
  <c r="H18" i="8"/>
  <c r="G18" i="8"/>
  <c r="G17" i="8"/>
  <c r="H17" i="8" s="1"/>
  <c r="G16" i="8"/>
  <c r="H16" i="8" s="1"/>
  <c r="G15" i="8"/>
  <c r="H15" i="8" s="1"/>
  <c r="G14" i="8"/>
  <c r="H14" i="8" s="1"/>
  <c r="H13" i="8"/>
  <c r="G13" i="8"/>
  <c r="G12" i="8"/>
  <c r="H12" i="8" s="1"/>
  <c r="G11" i="8"/>
  <c r="H11" i="8" s="1"/>
  <c r="H10" i="8"/>
  <c r="G10" i="8"/>
  <c r="H9" i="8"/>
  <c r="G9" i="8"/>
  <c r="G8" i="8"/>
  <c r="H8" i="8" s="1"/>
  <c r="G7" i="8"/>
  <c r="H7" i="8" s="1"/>
  <c r="G6" i="8"/>
  <c r="H6" i="8" s="1"/>
  <c r="G5" i="8"/>
  <c r="H5" i="8" s="1"/>
  <c r="B22" i="7"/>
  <c r="B21" i="7"/>
  <c r="B20" i="7"/>
  <c r="B19" i="7"/>
  <c r="B18" i="7"/>
  <c r="B11" i="7"/>
  <c r="B10" i="7"/>
  <c r="B13" i="7" s="1"/>
  <c r="B9" i="7"/>
  <c r="B12" i="7" s="1"/>
  <c r="B5" i="7"/>
  <c r="A60" i="6"/>
  <c r="J60" i="6" s="1"/>
  <c r="D59" i="6"/>
  <c r="A59" i="6"/>
  <c r="J59" i="6" s="1"/>
  <c r="J58" i="6"/>
  <c r="G58" i="6"/>
  <c r="E58" i="6"/>
  <c r="D58" i="6"/>
  <c r="C58" i="6"/>
  <c r="B58" i="6"/>
  <c r="A58" i="6"/>
  <c r="H58" i="6" s="1"/>
  <c r="H57" i="6"/>
  <c r="C57" i="6"/>
  <c r="B57" i="6"/>
  <c r="A57" i="6"/>
  <c r="J57" i="6" s="1"/>
  <c r="J56" i="6"/>
  <c r="H56" i="6"/>
  <c r="G56" i="6"/>
  <c r="D56" i="6"/>
  <c r="C56" i="6"/>
  <c r="A56" i="6"/>
  <c r="E56" i="6" s="1"/>
  <c r="E55" i="6"/>
  <c r="A55" i="6"/>
  <c r="J55" i="6" s="1"/>
  <c r="J54" i="6"/>
  <c r="H54" i="6"/>
  <c r="E54" i="6"/>
  <c r="A54" i="6"/>
  <c r="C54" i="6" s="1"/>
  <c r="G53" i="6"/>
  <c r="C53" i="6"/>
  <c r="A53" i="6"/>
  <c r="J53" i="6" s="1"/>
  <c r="J52" i="6"/>
  <c r="H52" i="6"/>
  <c r="G52" i="6"/>
  <c r="E52" i="6"/>
  <c r="D52" i="6"/>
  <c r="C52" i="6"/>
  <c r="B52" i="6"/>
  <c r="A52" i="6"/>
  <c r="A51" i="6"/>
  <c r="J51" i="6" s="1"/>
  <c r="D50" i="6"/>
  <c r="A50" i="6"/>
  <c r="J50" i="6" s="1"/>
  <c r="J49" i="6"/>
  <c r="G49" i="6"/>
  <c r="E49" i="6"/>
  <c r="D49" i="6"/>
  <c r="C49" i="6"/>
  <c r="B49" i="6"/>
  <c r="A49" i="6"/>
  <c r="H49" i="6" s="1"/>
  <c r="H48" i="6"/>
  <c r="C48" i="6"/>
  <c r="B48" i="6"/>
  <c r="A48" i="6"/>
  <c r="J48" i="6" s="1"/>
  <c r="J47" i="6"/>
  <c r="H47" i="6"/>
  <c r="G47" i="6"/>
  <c r="D47" i="6"/>
  <c r="C47" i="6"/>
  <c r="A47" i="6"/>
  <c r="E47" i="6" s="1"/>
  <c r="E46" i="6"/>
  <c r="A46" i="6"/>
  <c r="J46" i="6" s="1"/>
  <c r="J45" i="6"/>
  <c r="H45" i="6"/>
  <c r="E45" i="6"/>
  <c r="A45" i="6"/>
  <c r="C45" i="6" s="1"/>
  <c r="G44" i="6"/>
  <c r="C44" i="6"/>
  <c r="A44" i="6"/>
  <c r="J44" i="6" s="1"/>
  <c r="J43" i="6"/>
  <c r="H43" i="6"/>
  <c r="G43" i="6"/>
  <c r="E43" i="6"/>
  <c r="D43" i="6"/>
  <c r="C43" i="6"/>
  <c r="B43" i="6"/>
  <c r="A43" i="6"/>
  <c r="A42" i="6"/>
  <c r="J42" i="6" s="1"/>
  <c r="D41" i="6"/>
  <c r="A41" i="6"/>
  <c r="J41" i="6" s="1"/>
  <c r="J40" i="6"/>
  <c r="G40" i="6"/>
  <c r="E40" i="6"/>
  <c r="D40" i="6"/>
  <c r="C40" i="6"/>
  <c r="B40" i="6"/>
  <c r="A40" i="6"/>
  <c r="H40" i="6" s="1"/>
  <c r="H39" i="6"/>
  <c r="C39" i="6"/>
  <c r="B39" i="6"/>
  <c r="A39" i="6"/>
  <c r="J39" i="6" s="1"/>
  <c r="J38" i="6"/>
  <c r="H38" i="6"/>
  <c r="G38" i="6"/>
  <c r="D38" i="6"/>
  <c r="C38" i="6"/>
  <c r="A38" i="6"/>
  <c r="E38" i="6" s="1"/>
  <c r="A37" i="6"/>
  <c r="J37" i="6" s="1"/>
  <c r="J36" i="6"/>
  <c r="H36" i="6"/>
  <c r="E36" i="6"/>
  <c r="A36" i="6"/>
  <c r="C36" i="6" s="1"/>
  <c r="G35" i="6"/>
  <c r="C35" i="6"/>
  <c r="A35" i="6"/>
  <c r="J35" i="6" s="1"/>
  <c r="J34" i="6"/>
  <c r="H34" i="6"/>
  <c r="G34" i="6"/>
  <c r="E34" i="6"/>
  <c r="D34" i="6"/>
  <c r="C34" i="6"/>
  <c r="B34" i="6"/>
  <c r="A34" i="6"/>
  <c r="A33" i="6"/>
  <c r="J33" i="6" s="1"/>
  <c r="D32" i="6"/>
  <c r="A32" i="6"/>
  <c r="J32" i="6" s="1"/>
  <c r="J31" i="6"/>
  <c r="G31" i="6"/>
  <c r="E31" i="6"/>
  <c r="D31" i="6"/>
  <c r="C31" i="6"/>
  <c r="B31" i="6"/>
  <c r="A31" i="6"/>
  <c r="H31" i="6" s="1"/>
  <c r="H30" i="6"/>
  <c r="C30" i="6"/>
  <c r="B30" i="6"/>
  <c r="A30" i="6"/>
  <c r="J30" i="6" s="1"/>
  <c r="J29" i="6"/>
  <c r="H29" i="6"/>
  <c r="G29" i="6"/>
  <c r="D29" i="6"/>
  <c r="C29" i="6"/>
  <c r="A29" i="6"/>
  <c r="E29" i="6" s="1"/>
  <c r="A28" i="6"/>
  <c r="J28" i="6" s="1"/>
  <c r="J27" i="6"/>
  <c r="H27" i="6"/>
  <c r="E27" i="6"/>
  <c r="A27" i="6"/>
  <c r="C27" i="6" s="1"/>
  <c r="G26" i="6"/>
  <c r="C26" i="6"/>
  <c r="A26" i="6"/>
  <c r="J26" i="6" s="1"/>
  <c r="J25" i="6"/>
  <c r="H25" i="6"/>
  <c r="G25" i="6"/>
  <c r="E25" i="6"/>
  <c r="D25" i="6"/>
  <c r="C25" i="6"/>
  <c r="B25" i="6"/>
  <c r="A25" i="6"/>
  <c r="A24" i="6"/>
  <c r="J24" i="6" s="1"/>
  <c r="D23" i="6"/>
  <c r="A23" i="6"/>
  <c r="J23" i="6" s="1"/>
  <c r="J22" i="6"/>
  <c r="G22" i="6"/>
  <c r="E22" i="6"/>
  <c r="D22" i="6"/>
  <c r="C22" i="6"/>
  <c r="B22" i="6"/>
  <c r="A22" i="6"/>
  <c r="H22" i="6" s="1"/>
  <c r="H21" i="6"/>
  <c r="C21" i="6"/>
  <c r="B21" i="6"/>
  <c r="A21" i="6"/>
  <c r="J21" i="6" s="1"/>
  <c r="H20" i="6"/>
  <c r="G20" i="6"/>
  <c r="J20" i="6" s="1"/>
  <c r="D20" i="6"/>
  <c r="C20" i="6"/>
  <c r="A20" i="6"/>
  <c r="E20" i="6" s="1"/>
  <c r="A19" i="6"/>
  <c r="E18" i="6"/>
  <c r="D18" i="6"/>
  <c r="A18" i="6"/>
  <c r="C18" i="6" s="1"/>
  <c r="G17" i="6"/>
  <c r="C17" i="6"/>
  <c r="A17" i="6"/>
  <c r="J17" i="6" s="1"/>
  <c r="G16" i="6"/>
  <c r="H16" i="6" s="1"/>
  <c r="E16" i="6"/>
  <c r="D16" i="6"/>
  <c r="C16" i="6"/>
  <c r="B16" i="6"/>
  <c r="A16" i="6"/>
  <c r="A15" i="6"/>
  <c r="D14" i="6"/>
  <c r="A14" i="6"/>
  <c r="G13" i="6"/>
  <c r="E13" i="6"/>
  <c r="D13" i="6"/>
  <c r="C13" i="6"/>
  <c r="B13" i="6"/>
  <c r="A13" i="6"/>
  <c r="H13" i="6" s="1"/>
  <c r="C12" i="6"/>
  <c r="B12" i="6"/>
  <c r="A12" i="6"/>
  <c r="H11" i="6"/>
  <c r="G11" i="6"/>
  <c r="J11" i="6" s="1"/>
  <c r="D11" i="6"/>
  <c r="C11" i="6"/>
  <c r="A11" i="6"/>
  <c r="E11" i="6" s="1"/>
  <c r="A10" i="6"/>
  <c r="E9" i="6"/>
  <c r="D9" i="6"/>
  <c r="B9" i="6"/>
  <c r="A9" i="6"/>
  <c r="C9" i="6" s="1"/>
  <c r="G8" i="6"/>
  <c r="C8" i="6"/>
  <c r="A8" i="6"/>
  <c r="J8" i="6" s="1"/>
  <c r="G7" i="6"/>
  <c r="H7" i="6" s="1"/>
  <c r="E7" i="6"/>
  <c r="D7" i="6"/>
  <c r="C7" i="6"/>
  <c r="B7" i="6"/>
  <c r="A7" i="6"/>
  <c r="A6" i="6"/>
  <c r="D5" i="6"/>
  <c r="A5" i="6"/>
  <c r="H24" i="5"/>
  <c r="E24" i="5"/>
  <c r="H23" i="5"/>
  <c r="E23" i="5"/>
  <c r="H22" i="5"/>
  <c r="E22" i="5"/>
  <c r="H21" i="5"/>
  <c r="E21" i="5"/>
  <c r="H20" i="5"/>
  <c r="E20" i="5"/>
  <c r="H19" i="5"/>
  <c r="E19" i="5"/>
  <c r="H18" i="5"/>
  <c r="E18" i="5"/>
  <c r="H17" i="5"/>
  <c r="E17" i="5"/>
  <c r="H16" i="5"/>
  <c r="E16" i="5"/>
  <c r="H15" i="5"/>
  <c r="E15" i="5"/>
  <c r="H14" i="5"/>
  <c r="E14" i="5"/>
  <c r="H13" i="5"/>
  <c r="E13" i="5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R20" i="3"/>
  <c r="C12" i="5" s="1"/>
  <c r="R19" i="3"/>
  <c r="R18" i="3"/>
  <c r="R13" i="3"/>
  <c r="C11" i="3"/>
  <c r="F10" i="3"/>
  <c r="E10" i="3"/>
  <c r="G10" i="3" s="1"/>
  <c r="D10" i="3"/>
  <c r="C10" i="3"/>
  <c r="C7" i="5" s="1"/>
  <c r="E9" i="3"/>
  <c r="G9" i="3" s="1"/>
  <c r="D9" i="3"/>
  <c r="F9" i="3" s="1"/>
  <c r="C9" i="3"/>
  <c r="C6" i="5" s="1"/>
  <c r="D8" i="3"/>
  <c r="F8" i="3" s="1"/>
  <c r="R11" i="3" s="1"/>
  <c r="C9" i="5" s="1"/>
  <c r="C8" i="3"/>
  <c r="C5" i="5" s="1"/>
  <c r="J6" i="3"/>
  <c r="L6" i="3" s="1"/>
  <c r="I6" i="3"/>
  <c r="I7" i="3" s="1"/>
  <c r="I8" i="3" l="1"/>
  <c r="J7" i="3"/>
  <c r="H5" i="5"/>
  <c r="M5" i="4" s="1"/>
  <c r="E5" i="5"/>
  <c r="H6" i="5"/>
  <c r="M6" i="4" s="1"/>
  <c r="E6" i="5"/>
  <c r="H7" i="5"/>
  <c r="M7" i="4" s="1"/>
  <c r="E7" i="5"/>
  <c r="J15" i="6"/>
  <c r="H9" i="5"/>
  <c r="M9" i="4" s="1"/>
  <c r="E9" i="5"/>
  <c r="H12" i="5"/>
  <c r="M12" i="4" s="1"/>
  <c r="E12" i="5"/>
  <c r="D27" i="6"/>
  <c r="D36" i="6"/>
  <c r="D45" i="6"/>
  <c r="D54" i="6"/>
  <c r="E8" i="3"/>
  <c r="B5" i="6"/>
  <c r="G9" i="6"/>
  <c r="B14" i="6"/>
  <c r="G18" i="6"/>
  <c r="B23" i="6"/>
  <c r="G27" i="6"/>
  <c r="B32" i="6"/>
  <c r="G36" i="6"/>
  <c r="B41" i="6"/>
  <c r="G45" i="6"/>
  <c r="B50" i="6"/>
  <c r="G54" i="6"/>
  <c r="B59" i="6"/>
  <c r="C5" i="6"/>
  <c r="C14" i="6"/>
  <c r="C23" i="6"/>
  <c r="C32" i="6"/>
  <c r="C41" i="6"/>
  <c r="C50" i="6"/>
  <c r="C59" i="6"/>
  <c r="J7" i="6"/>
  <c r="B10" i="6"/>
  <c r="G14" i="6"/>
  <c r="H14" i="6" s="1"/>
  <c r="D30" i="6"/>
  <c r="D39" i="6"/>
  <c r="G41" i="6"/>
  <c r="B46" i="6"/>
  <c r="D48" i="6"/>
  <c r="G50" i="6"/>
  <c r="B55" i="6"/>
  <c r="D57" i="6"/>
  <c r="G59" i="6"/>
  <c r="G5" i="6"/>
  <c r="B6" i="7" s="1"/>
  <c r="D12" i="6"/>
  <c r="J16" i="6"/>
  <c r="B19" i="6"/>
  <c r="D21" i="6"/>
  <c r="G23" i="6"/>
  <c r="B28" i="6"/>
  <c r="G32" i="6"/>
  <c r="B37" i="6"/>
  <c r="H5" i="6"/>
  <c r="C10" i="6"/>
  <c r="E12" i="6"/>
  <c r="C19" i="6"/>
  <c r="E21" i="6"/>
  <c r="H23" i="6"/>
  <c r="C28" i="6"/>
  <c r="E30" i="6"/>
  <c r="H32" i="6"/>
  <c r="C37" i="6"/>
  <c r="E39" i="6"/>
  <c r="H41" i="6"/>
  <c r="C46" i="6"/>
  <c r="E48" i="6"/>
  <c r="H50" i="6"/>
  <c r="C55" i="6"/>
  <c r="E57" i="6"/>
  <c r="H59" i="6"/>
  <c r="E5" i="6"/>
  <c r="E14" i="6"/>
  <c r="E23" i="6"/>
  <c r="E32" i="6"/>
  <c r="E41" i="6"/>
  <c r="E50" i="6"/>
  <c r="E59" i="6"/>
  <c r="B8" i="6"/>
  <c r="D10" i="6"/>
  <c r="G12" i="6"/>
  <c r="H12" i="6" s="1"/>
  <c r="B17" i="6"/>
  <c r="D19" i="6"/>
  <c r="G21" i="6"/>
  <c r="B26" i="6"/>
  <c r="D28" i="6"/>
  <c r="G30" i="6"/>
  <c r="B35" i="6"/>
  <c r="D37" i="6"/>
  <c r="G39" i="6"/>
  <c r="B44" i="6"/>
  <c r="D46" i="6"/>
  <c r="G48" i="6"/>
  <c r="B53" i="6"/>
  <c r="D55" i="6"/>
  <c r="G57" i="6"/>
  <c r="E10" i="6"/>
  <c r="K6" i="3"/>
  <c r="B6" i="6"/>
  <c r="D8" i="6"/>
  <c r="G10" i="6"/>
  <c r="B15" i="6"/>
  <c r="D17" i="6"/>
  <c r="G19" i="6"/>
  <c r="H19" i="6" s="1"/>
  <c r="B24" i="6"/>
  <c r="D26" i="6"/>
  <c r="G28" i="6"/>
  <c r="B33" i="6"/>
  <c r="D35" i="6"/>
  <c r="G37" i="6"/>
  <c r="B42" i="6"/>
  <c r="D44" i="6"/>
  <c r="G46" i="6"/>
  <c r="B51" i="6"/>
  <c r="D53" i="6"/>
  <c r="G55" i="6"/>
  <c r="B60" i="6"/>
  <c r="E19" i="6"/>
  <c r="E28" i="6"/>
  <c r="E37" i="6"/>
  <c r="C6" i="6"/>
  <c r="E8" i="6"/>
  <c r="H10" i="6"/>
  <c r="C15" i="6"/>
  <c r="E17" i="6"/>
  <c r="C24" i="6"/>
  <c r="E26" i="6"/>
  <c r="H28" i="6"/>
  <c r="C33" i="6"/>
  <c r="E35" i="6"/>
  <c r="H37" i="6"/>
  <c r="C42" i="6"/>
  <c r="E44" i="6"/>
  <c r="H46" i="6"/>
  <c r="C51" i="6"/>
  <c r="E53" i="6"/>
  <c r="H55" i="6"/>
  <c r="C60" i="6"/>
  <c r="E6" i="6"/>
  <c r="H8" i="6"/>
  <c r="E15" i="6"/>
  <c r="H17" i="6"/>
  <c r="E24" i="6"/>
  <c r="H26" i="6"/>
  <c r="E33" i="6"/>
  <c r="H35" i="6"/>
  <c r="E42" i="6"/>
  <c r="H44" i="6"/>
  <c r="E51" i="6"/>
  <c r="H53" i="6"/>
  <c r="E60" i="6"/>
  <c r="D6" i="6"/>
  <c r="D15" i="6"/>
  <c r="D24" i="6"/>
  <c r="D33" i="6"/>
  <c r="D42" i="6"/>
  <c r="D51" i="6"/>
  <c r="D60" i="6"/>
  <c r="G6" i="6"/>
  <c r="J6" i="6" s="1"/>
  <c r="B11" i="6"/>
  <c r="G15" i="6"/>
  <c r="B20" i="6"/>
  <c r="G24" i="6"/>
  <c r="B29" i="6"/>
  <c r="G33" i="6"/>
  <c r="B38" i="6"/>
  <c r="G42" i="6"/>
  <c r="B47" i="6"/>
  <c r="G51" i="6"/>
  <c r="B56" i="6"/>
  <c r="G60" i="6"/>
  <c r="H15" i="6"/>
  <c r="H24" i="6"/>
  <c r="H33" i="6"/>
  <c r="H42" i="6"/>
  <c r="H51" i="6"/>
  <c r="H60" i="6"/>
  <c r="B18" i="6"/>
  <c r="B27" i="6"/>
  <c r="B36" i="6"/>
  <c r="B45" i="6"/>
  <c r="B54" i="6"/>
  <c r="J14" i="6" l="1"/>
  <c r="R10" i="3"/>
  <c r="C8" i="5" s="1"/>
  <c r="G8" i="3"/>
  <c r="R12" i="3" s="1"/>
  <c r="C10" i="5" s="1"/>
  <c r="J19" i="6"/>
  <c r="J18" i="6"/>
  <c r="H18" i="6"/>
  <c r="J9" i="6"/>
  <c r="H9" i="6"/>
  <c r="H6" i="6"/>
  <c r="J5" i="6"/>
  <c r="J12" i="6"/>
  <c r="B8" i="7"/>
  <c r="B14" i="7" s="1"/>
  <c r="B7" i="7"/>
  <c r="L7" i="3"/>
  <c r="K7" i="3"/>
  <c r="M7" i="3" s="1"/>
  <c r="M6" i="3"/>
  <c r="C20" i="7"/>
  <c r="D20" i="7" s="1"/>
  <c r="C19" i="7"/>
  <c r="D19" i="7" s="1"/>
  <c r="C18" i="7"/>
  <c r="D18" i="7" s="1"/>
  <c r="C22" i="7"/>
  <c r="D22" i="7" s="1"/>
  <c r="C21" i="7"/>
  <c r="D21" i="7" s="1"/>
  <c r="I9" i="3"/>
  <c r="J8" i="3"/>
  <c r="J9" i="3" l="1"/>
  <c r="I10" i="3"/>
  <c r="L8" i="3"/>
  <c r="K8" i="3"/>
  <c r="M8" i="3" s="1"/>
  <c r="E10" i="5"/>
  <c r="H10" i="5"/>
  <c r="M10" i="4" s="1"/>
  <c r="E8" i="5"/>
  <c r="H8" i="5"/>
  <c r="M8" i="4" s="1"/>
  <c r="J13" i="6" l="1"/>
  <c r="K9" i="3"/>
  <c r="L9" i="3"/>
  <c r="I11" i="3"/>
  <c r="R14" i="3" s="1"/>
  <c r="C11" i="5" s="1"/>
  <c r="J10" i="3"/>
  <c r="L10" i="3" l="1"/>
  <c r="R16" i="3" s="1"/>
  <c r="K10" i="3"/>
  <c r="M10" i="3" s="1"/>
  <c r="H11" i="5"/>
  <c r="M11" i="4" s="1"/>
  <c r="E11" i="5"/>
  <c r="M9" i="3"/>
  <c r="R17" i="3" s="1"/>
  <c r="R15" i="3"/>
  <c r="J10" i="6" l="1"/>
  <c r="B29" i="7"/>
  <c r="B28" i="7"/>
  <c r="B27" i="7"/>
  <c r="B26" i="7"/>
</calcChain>
</file>

<file path=xl/sharedStrings.xml><?xml version="1.0" encoding="utf-8"?>
<sst xmlns="http://schemas.openxmlformats.org/spreadsheetml/2006/main" count="675" uniqueCount="365">
  <si>
    <t>Plantilla E1 · Catálogo de casos de prueba y matriz de trazabilidad</t>
  </si>
  <si>
    <t>Pruebas de Software · Proyecto Nuclear · Sistema web de predicción de demanda · Corte 1 (vence el 23/10/2026)</t>
  </si>
  <si>
    <t>QUÉ ES ESTE ARCHIVO</t>
  </si>
  <si>
    <t>Un solo libro de Excel que sirve para el Anexo A del Plan maestro (catálogo de casos) y para el entregable E1.2 (matriz de trazabilidad). Contiene un EJEMPLO COMPLETO ya diligenciado para el sistema de predicción de demanda. Bórralo y escribe el de tu equipo.</t>
  </si>
  <si>
    <t>HOJAS</t>
  </si>
  <si>
    <t>Requisitos → lista de requisitos del backlog. Todo parte de aquí.</t>
  </si>
  <si>
    <t>Catalogo → un caso de prueba por fila (ID, requisito, técnica, datos de entrada, resultado esperado, tolerancia…).</t>
  </si>
  <si>
    <t>Verificacion → compara el valor del sistema con el valor de referencia de Producción y calcula APROBADO / FALLIDO con la tolerancia.</t>
  </si>
  <si>
    <t>Calculo_Referencia → el cálculo independiente en Excel (promedio móvil, suavización exponencial, regresión, MAD, MSE, MAPE). Es lo que hace Producción.</t>
  </si>
  <si>
    <t>Matriz → trazabilidad: qué casos verifican cada requisito. Detecta requisitos sin cobertura.</t>
  </si>
  <si>
    <t>Cobertura → revisa tu entrega: % de requisitos cubiertos, mínimo de casos, casos huérfanos. Se calcula solo.</t>
  </si>
  <si>
    <t>Riesgos → matriz de riesgos (exposición = probabilidad × impacto) para priorizar las pruebas.</t>
  </si>
  <si>
    <t>Listas → apoya las listas desplegables. No la toques.</t>
  </si>
  <si>
    <t>CÓDIGO DE COLORES</t>
  </si>
  <si>
    <t>Texto AZUL = datos que tú escribes · Texto NEGRO = fórmulas (no las borres) · Texto VERDE = vínculo a otra hoja · Celda AMARILLA = dato clave que debes completar (valor del sistema, α).</t>
  </si>
  <si>
    <t>CÓMO USARLO (PASO A PASO)</t>
  </si>
  <si>
    <t>1. Escribe los requisitos en la hoja Requisitos (los del backlog acordado con Producción).</t>
  </si>
  <si>
    <t>2. Pide a Producción su Excel de cálculo de referencia. Si aún no lo tienes, usa Calculo_Referencia como modelo para construir el tuyo.</t>
  </si>
  <si>
    <t>3. En Catalogo escribe un caso por fila. Elige el ID de requisito de la lista: la columna Módulo se completa sola.</t>
  </si>
  <si>
    <t>4. Para los casos de verificación numérica, agrega la fila correspondiente en Verificacion con el valor de referencia y la tolerancia acordada.</t>
  </si>
  <si>
    <t>5. En Matriz escribe la lista de casos de cada requisito (la columna N.º casos se calcula sola y debe coincidir con tu lista).</t>
  </si>
  <si>
    <t>6. Abre Cobertura: no debe haber requisitos funcionales sin cobertura; mínimo 20 casos y 8 de verificación numérica.</t>
  </si>
  <si>
    <t>7. En el corte 2, al ejecutar, llena "Valor del sistema" en Verificacion y el veredicto de los demás casos en Catalogo.</t>
  </si>
  <si>
    <t>EN EL EJEMPLO HAY DOS COSAS INTENCIONALES (para aprender)</t>
  </si>
  <si>
    <t>• RF-04 y RNF-03 no tienen casos de prueba: la Matriz y la Cobertura los marcan en rojo. En tu entrega no puede quedar ningún requisito funcional sin caso.</t>
  </si>
  <si>
    <t>• CP-006 sale FALLIDO: el "sistema" ficticio dividió el error por el pronóstico en lugar de la demanda real (8,37 en vez de 7,62). Es el defecto DEF-001. Así se descubre un error de cálculo.</t>
  </si>
  <si>
    <t>REGLAS IMPORTANTES</t>
  </si>
  <si>
    <t>• El valor esperado sale de un cálculo INDEPENDIENTE (Excel de Producción), nunca del código del sistema.</t>
  </si>
  <si>
    <t>• Los decimales se comparan con TOLERANCIA, no con igualdad exacta. La tolerancia se acuerda con Producción y se firma en el plan maestro (en el ejemplo: 0,01).</t>
  </si>
  <si>
    <t>• Las reglas de los casos límite y de permisos (por ejemplo, qué hace el sistema si la demanda real es 0, o si el supervisor puede configurar umbrales) son supuestos del ejemplo: acuérdalas con Producción.</t>
  </si>
  <si>
    <t>• Anonimiza los datos de las empresas (Ley 1581 de 2012).</t>
  </si>
  <si>
    <t>Requisitos del sistema de predicción de demanda</t>
  </si>
  <si>
    <t>Aquí listas los requisitos del backlog (levantados con Producción). La Matriz y la Cobertura se alimentan de esta hoja. Celdas azules = datos que tú escribes.</t>
  </si>
  <si>
    <t>ID requisito</t>
  </si>
  <si>
    <t>Descripción</t>
  </si>
  <si>
    <t>Módulo</t>
  </si>
  <si>
    <t>Tipo</t>
  </si>
  <si>
    <t>Prioridad</t>
  </si>
  <si>
    <t>RF-01</t>
  </si>
  <si>
    <t>Registrar, consultar, actualizar y eliminar series de producción y demanda por producto, línea y período</t>
  </si>
  <si>
    <t>Gestión de datos</t>
  </si>
  <si>
    <t>Funcional</t>
  </si>
  <si>
    <t>Alta</t>
  </si>
  <si>
    <t>RF-02</t>
  </si>
  <si>
    <t>Cargar series de tiempo desde archivo CSV validando el formato</t>
  </si>
  <si>
    <t>RF-03</t>
  </si>
  <si>
    <t>Detectar y marcar datos atípicos y faltantes en la serie</t>
  </si>
  <si>
    <t>Media</t>
  </si>
  <si>
    <t>RF-04</t>
  </si>
  <si>
    <t>Registrar la capacidad disponible por centro de trabajo</t>
  </si>
  <si>
    <t>RF-05</t>
  </si>
  <si>
    <t>Calcular el pronóstico por promedio móvil con ventana configurable</t>
  </si>
  <si>
    <t>Pronóstico</t>
  </si>
  <si>
    <t>RF-06</t>
  </si>
  <si>
    <t>Calcular el pronóstico por suavización exponencial simple con α configurable</t>
  </si>
  <si>
    <t>RF-07</t>
  </si>
  <si>
    <t>Calcular el pronóstico por suavización exponencial con tendencia (método de Holt)</t>
  </si>
  <si>
    <t>RF-08</t>
  </si>
  <si>
    <t>Calcular el pronóstico por regresión lineal</t>
  </si>
  <si>
    <t>RF-09</t>
  </si>
  <si>
    <t>Calcular MAD, MSE y MAPE por método y por producto</t>
  </si>
  <si>
    <t>RF-10</t>
  </si>
  <si>
    <t>Generar alerta cuando el error del pronóstico supere un umbral configurable</t>
  </si>
  <si>
    <t>Indicadores y reportes</t>
  </si>
  <si>
    <t>RF-11</t>
  </si>
  <si>
    <t>Mostrar en el dashboard la comparación pronóstico vs. real con sesgo acumulado</t>
  </si>
  <si>
    <t>RF-12</t>
  </si>
  <si>
    <t>Exportar reportes de predicciones e indicadores en PDF y Excel</t>
  </si>
  <si>
    <t>RF-13</t>
  </si>
  <si>
    <t>Autenticar usuarios con cuatro roles (administrador, planeador, supervisor de línea, analista de datos) y controlar permisos</t>
  </si>
  <si>
    <t>Autenticación y roles</t>
  </si>
  <si>
    <t>RNF-01</t>
  </si>
  <si>
    <t>Rendimiento: calcular los pronósticos de 500 series en máximo 10 s (umbral de ejemplo; se define en el plan)</t>
  </si>
  <si>
    <t>No funcional</t>
  </si>
  <si>
    <t>RNF-02</t>
  </si>
  <si>
    <t>Seguridad: ninguna ruta ni API protegida accesible sin sesión válida</t>
  </si>
  <si>
    <t>RNF-03</t>
  </si>
  <si>
    <t>Accesibilidad básica (WCAG 2.1): contraste, etiquetas de formulario y navegación con teclado</t>
  </si>
  <si>
    <t>Transversal</t>
  </si>
  <si>
    <t>Cálculo de referencia en Excel (lo que hace Producción)</t>
  </si>
  <si>
    <t>Este es el "valor esperado independiente". El sistema se verifica contra estas celdas. Azul = datos de entrada; negro = fórmulas. Promedio móvil de 3 períodos y suavización con α editable.</t>
  </si>
  <si>
    <t>Período t</t>
  </si>
  <si>
    <t>Demanda real</t>
  </si>
  <si>
    <t>MA(3) pronóstico</t>
  </si>
  <si>
    <t>Error</t>
  </si>
  <si>
    <t>|Error|</t>
  </si>
  <si>
    <t>Error²</t>
  </si>
  <si>
    <t>|Error|/Real</t>
  </si>
  <si>
    <t>SES pronóstico</t>
  </si>
  <si>
    <t>Parámetros</t>
  </si>
  <si>
    <t>Valor</t>
  </si>
  <si>
    <t>α (suavización exponencial)</t>
  </si>
  <si>
    <t>Ventana del promedo móvil</t>
  </si>
  <si>
    <t>La ventana está fija en 3 en las fórmulas de la columna C (informativo).</t>
  </si>
  <si>
    <t>Resumen (valores de referencia)</t>
  </si>
  <si>
    <t>MA(3) · MAD</t>
  </si>
  <si>
    <t>MA(3) · MSE</t>
  </si>
  <si>
    <t>MA(3) · MAPE (%)</t>
  </si>
  <si>
    <t>MA(3) · pronóstico t=7</t>
  </si>
  <si>
    <t>Cómo leerlo: cambia α (celda amarilla) o una demanda (azul) y todo se recalcula. Así Producción obtiene el "valor esperado" que se usa en la hoja Verificacion.</t>
  </si>
  <si>
    <t>SES · pronóstico t=7</t>
  </si>
  <si>
    <t>Convención: la suavización exponencial toma como primer pronóstico F₂ = D₁. Si el sistema usa otra convención, se acuerda por escrito con Producción antes de probar.</t>
  </si>
  <si>
    <t>SES · MAD (t=2 a 6)</t>
  </si>
  <si>
    <t>SES · MSE (t=2 a 6)</t>
  </si>
  <si>
    <t>SES · MAPE (%) (t=2 a 6)</t>
  </si>
  <si>
    <t>Regresión · intercepto a</t>
  </si>
  <si>
    <t>Regresión · pendiente b</t>
  </si>
  <si>
    <t>Regresión · pronóstico t=7</t>
  </si>
  <si>
    <t>Catálogo de casos de prueba (Anexo A del plan maestro)</t>
  </si>
  <si>
    <t>Un caso por fila. Azul = lo escribes tú. Módulo se completa solo según el requisito. Los casos CP-001 a CP-008 toman su veredicto de la hoja Verificacion.</t>
  </si>
  <si>
    <t>ID caso</t>
  </si>
  <si>
    <t>Módulo (auto)</t>
  </si>
  <si>
    <t>Nivel</t>
  </si>
  <si>
    <t>Técnica</t>
  </si>
  <si>
    <t>Precondiciones</t>
  </si>
  <si>
    <t>Datos de entrada</t>
  </si>
  <si>
    <t>Pasos</t>
  </si>
  <si>
    <t>Resultado esperado</t>
  </si>
  <si>
    <t>Tolerancia</t>
  </si>
  <si>
    <t>Resultado obtenido</t>
  </si>
  <si>
    <t>Veredicto</t>
  </si>
  <si>
    <t>Defecto asociado</t>
  </si>
  <si>
    <t>Ejecutor</t>
  </si>
  <si>
    <t>Fecha</t>
  </si>
  <si>
    <t>CP-001</t>
  </si>
  <si>
    <t>Unitaria</t>
  </si>
  <si>
    <t>Verificación numérica</t>
  </si>
  <si>
    <t>Serie A cargada (6 períodos)</t>
  </si>
  <si>
    <t>Serie 120,132,128,141,138,150; método MA; ventana 3</t>
  </si>
  <si>
    <t>Ejecutar pronóstico MA(3)</t>
  </si>
  <si>
    <t>Pronóstico del período 4 = 126,67</t>
  </si>
  <si>
    <t>CP-002</t>
  </si>
  <si>
    <t>Ídem CP-001</t>
  </si>
  <si>
    <t>Pronóstico del período 5 = 133,67</t>
  </si>
  <si>
    <t>CP-003</t>
  </si>
  <si>
    <t>Pronóstico del período 6 = 135,67</t>
  </si>
  <si>
    <t>CP-004</t>
  </si>
  <si>
    <t>Calcular MAD sobre períodos 4 a 6</t>
  </si>
  <si>
    <t>MAD = 11,00</t>
  </si>
  <si>
    <t>CP-005</t>
  </si>
  <si>
    <t>Calcular MSE sobre períodos 4 a 6</t>
  </si>
  <si>
    <t>MSE = 143,22</t>
  </si>
  <si>
    <t>CP-006</t>
  </si>
  <si>
    <t>Calcular MAPE sobre períodos 4 a 6</t>
  </si>
  <si>
    <t>MAPE = 7,62 % (dividiendo por la demanda real)</t>
  </si>
  <si>
    <t>DEF-001</t>
  </si>
  <si>
    <t>CP-007</t>
  </si>
  <si>
    <t>Serie A cargada</t>
  </si>
  <si>
    <t>Misma serie; método SES; α = 0,3; F₂ = D₁</t>
  </si>
  <si>
    <t>Ejecutar pronóstico SES</t>
  </si>
  <si>
    <t>Pronóstico del período 7 = 137,55</t>
  </si>
  <si>
    <t>CP-008</t>
  </si>
  <si>
    <t>Misma serie; método regresión lineal</t>
  </si>
  <si>
    <t>Ejecutar pronóstico por regresión</t>
  </si>
  <si>
    <t>Pronóstico del período 7 = 152,93</t>
  </si>
  <si>
    <t>CP-009</t>
  </si>
  <si>
    <t>Valores límite</t>
  </si>
  <si>
    <t>Serie con demanda real = 0 en un período</t>
  </si>
  <si>
    <t>Serie 100, 0, 120, 110</t>
  </si>
  <si>
    <t>Calcular MAPE</t>
  </si>
  <si>
    <t>El sistema no falla: excluye el período con 0 del MAPE y muestra advertencia (comportamiento a acordar con Producción)</t>
  </si>
  <si>
    <t>N/A</t>
  </si>
  <si>
    <t>PENDIENTE</t>
  </si>
  <si>
    <t>CP-010</t>
  </si>
  <si>
    <t>Serie con 2 períodos</t>
  </si>
  <si>
    <t>Serie 100, 110; ventana 3</t>
  </si>
  <si>
    <t>Ejecutar MA con ventana mayor que los datos</t>
  </si>
  <si>
    <t>Rechaza el cálculo con mensaje "períodos insuficientes"</t>
  </si>
  <si>
    <t>CP-011</t>
  </si>
  <si>
    <t>α = 1,2 (y también α = −0,1)</t>
  </si>
  <si>
    <t>Ejecutar SES con α fuera de [0, 1]</t>
  </si>
  <si>
    <t>Rechaza el valor con mensaje de rango válido</t>
  </si>
  <si>
    <t>CP-012</t>
  </si>
  <si>
    <t>β = 1,5</t>
  </si>
  <si>
    <t>Ejecutar Holt con β fuera de [0, 1]</t>
  </si>
  <si>
    <t>CP-013</t>
  </si>
  <si>
    <t>Serie sin datos</t>
  </si>
  <si>
    <t>Serie vacía</t>
  </si>
  <si>
    <t>Ejecutar MA</t>
  </si>
  <si>
    <t>No calcula; muestra mensaje "serie vacía"</t>
  </si>
  <si>
    <t>CP-014</t>
  </si>
  <si>
    <t>Integración</t>
  </si>
  <si>
    <t>Tabla de decisión</t>
  </si>
  <si>
    <t>Sesión iniciada como analista de datos</t>
  </si>
  <si>
    <t>Acción: eliminar un usuario</t>
  </si>
  <si>
    <t>Intentar eliminar usuario desde la pantalla y por la API</t>
  </si>
  <si>
    <t>Acceso denegado (403) y sin cambios en la base de datos</t>
  </si>
  <si>
    <t>CP-015</t>
  </si>
  <si>
    <t>Sesión como planeador de producción</t>
  </si>
  <si>
    <t>Acción: ejecutar pronóstico</t>
  </si>
  <si>
    <t>Ejecutar pronóstico sobre la serie A</t>
  </si>
  <si>
    <t>Acción permitida; se muestra el resultado</t>
  </si>
  <si>
    <t>CP-016</t>
  </si>
  <si>
    <t>Seguridad</t>
  </si>
  <si>
    <t>Sin sesión iniciada</t>
  </si>
  <si>
    <t>URL directa del dashboard y de la API de pronósticos</t>
  </si>
  <si>
    <t>Abrir la URL sin autenticarse</t>
  </si>
  <si>
    <t>Redirige al inicio de sesión / responde 401</t>
  </si>
  <si>
    <t>CP-017</t>
  </si>
  <si>
    <t>Sesión como supervisor de línea</t>
  </si>
  <si>
    <t>Acción: configurar umbral de alerta</t>
  </si>
  <si>
    <t>Intentar configurar el umbral (permisos según matriz acordada con Producción)</t>
  </si>
  <si>
    <t>Acceso denegado, según la matriz de permisos (supuesto a confirmar)</t>
  </si>
  <si>
    <t>CP-018</t>
  </si>
  <si>
    <t>Umbral de alerta configurado en 10 % de error</t>
  </si>
  <si>
    <t>Error de pronóstico exactamente igual al umbral</t>
  </si>
  <si>
    <t>Evaluar la alerta</t>
  </si>
  <si>
    <t>La alerta se activa (comportamiento "≥ umbral", a acordar con Producción)</t>
  </si>
  <si>
    <t>CP-019</t>
  </si>
  <si>
    <t>Umbral configurado en 10 %</t>
  </si>
  <si>
    <t>Error de 9,99 %</t>
  </si>
  <si>
    <t>No se activa la alerta</t>
  </si>
  <si>
    <t>CP-020</t>
  </si>
  <si>
    <t>Partición de equivalencia</t>
  </si>
  <si>
    <t>Sesión como analista de datos</t>
  </si>
  <si>
    <t>CSV válido con 24 períodos</t>
  </si>
  <si>
    <t>Cargar el archivo</t>
  </si>
  <si>
    <t>Se cargan los 24 períodos y se muestran en la serie</t>
  </si>
  <si>
    <t>CP-021</t>
  </si>
  <si>
    <t>CSV con texto ("abc") en la columna de demanda del período 7</t>
  </si>
  <si>
    <t>Rechaza la fila e indica el número de línea; el resto se procesa según la regla acordada</t>
  </si>
  <si>
    <t>CP-022</t>
  </si>
  <si>
    <t>Serie con el período 5 vacío</t>
  </si>
  <si>
    <t>Cargar la serie</t>
  </si>
  <si>
    <t>El período 5 queda marcado como faltante</t>
  </si>
  <si>
    <t>CP-023</t>
  </si>
  <si>
    <t>Producto A, línea 1, período mensual</t>
  </si>
  <si>
    <t>Crear, consultar, actualizar y eliminar la serie</t>
  </si>
  <si>
    <t>Cada operación se refleja correctamente en la base de datos</t>
  </si>
  <si>
    <t>CP-024</t>
  </si>
  <si>
    <t>Sistema/Funcional</t>
  </si>
  <si>
    <t>Basada en riesgo</t>
  </si>
  <si>
    <t>Pronóstico ejecutado sobre la serie A</t>
  </si>
  <si>
    <t>Serie A + pronóstico MA(3)</t>
  </si>
  <si>
    <t>Abrir el dashboard</t>
  </si>
  <si>
    <t>El gráfico muestra real y pronóstico y el sesgo acumulado coincide con el cálculo de referencia</t>
  </si>
  <si>
    <t>CP-025</t>
  </si>
  <si>
    <t>Dashboard con datos</t>
  </si>
  <si>
    <t>Exportar a PDF y a Excel</t>
  </si>
  <si>
    <t>Descargar ambos reportes</t>
  </si>
  <si>
    <t>Los valores del archivo coinciden con la pantalla</t>
  </si>
  <si>
    <t>CP-026</t>
  </si>
  <si>
    <t>Rendimiento</t>
  </si>
  <si>
    <t>Base con 500 series de 24 períodos</t>
  </si>
  <si>
    <t>Ejecutar el pronóstico para todas las series</t>
  </si>
  <si>
    <t>Medir el tiempo total</t>
  </si>
  <si>
    <t>Tiempo ≤ 10 s (umbral de ejemplo)</t>
  </si>
  <si>
    <t>Recuerda: mínimo 20 casos y 8 de verificación numérica (ver hoja Cobertura). Los casos de límite y de roles dependen de reglas que debes acordar con Producción; márcalas como "a acordar" mientras tanto.</t>
  </si>
  <si>
    <t>Verificación numérica: sistema vs. cálculo de referencia</t>
  </si>
  <si>
    <t>Columna C = valor del Excel de Producción (viene de Calculo_Referencia). Columna D = lo que devuelve el sistema (lo escribes al ejecutar). El veredicto se calcula solo.</t>
  </si>
  <si>
    <t>Qué se verifica</t>
  </si>
  <si>
    <t>Valor de referencia (Excel)</t>
  </si>
  <si>
    <t>Valor del sistema</t>
  </si>
  <si>
    <t>Diferencia absoluta</t>
  </si>
  <si>
    <t>Unidad</t>
  </si>
  <si>
    <t>MA(3) · pronóstico período 4</t>
  </si>
  <si>
    <t>unidades</t>
  </si>
  <si>
    <t>MA(3) · pronóstico período 5</t>
  </si>
  <si>
    <t>MA(3) · pronóstico período 6</t>
  </si>
  <si>
    <t>unidades²</t>
  </si>
  <si>
    <t>MA(3) · MAPE</t>
  </si>
  <si>
    <t>% (puntos)</t>
  </si>
  <si>
    <t>SES α=0,3 · pronóstico período 7</t>
  </si>
  <si>
    <t>Regresión lineal · pronóstico período 7</t>
  </si>
  <si>
    <t>Ejemplo intencional: CP-006 aparece FALLIDO porque el sistema (ficticio) dividió el error por el pronóstico en lugar de la demanda real (8,37 en vez de 7,62). Es un defecto típico: se registra como DEF-001.</t>
  </si>
  <si>
    <t>Tolerancia 0,01 = diferencia máxima aceptada, acordada con Producción y firmada en el plan maestro. Los valores del sistema están redondeados a 2 decimales.</t>
  </si>
  <si>
    <t>Matriz de trazabilidad requisitos–pruebas (E1.2)</t>
  </si>
  <si>
    <t>Se alimenta sola desde Requisitos y Catalogo. Tú completas: Casos de prueba (lista), Nivel/herramienta y Defectos. El estado y la cobertura se calculan.</t>
  </si>
  <si>
    <t>Casos de prueba (lista)</t>
  </si>
  <si>
    <t>N.º casos (auto)</t>
  </si>
  <si>
    <t>Cobertura (auto)</t>
  </si>
  <si>
    <t>Nivel / herramienta</t>
  </si>
  <si>
    <t>Estado (auto)</t>
  </si>
  <si>
    <t>Defectos asociados</t>
  </si>
  <si>
    <t>Integración / Supertest</t>
  </si>
  <si>
    <t>CP-020, CP-021</t>
  </si>
  <si>
    <t>Integración / Jest</t>
  </si>
  <si>
    <t>CP-001, CP-002, CP-003, CP-010, CP-013</t>
  </si>
  <si>
    <t>Unitaria / Jest</t>
  </si>
  <si>
    <t>CP-007, CP-011</t>
  </si>
  <si>
    <t>CP-004, CP-005, CP-006, CP-009</t>
  </si>
  <si>
    <t>CP-018, CP-019</t>
  </si>
  <si>
    <t>Sistema / Cypress</t>
  </si>
  <si>
    <t>CP-014, CP-015, CP-017</t>
  </si>
  <si>
    <t>Rendimiento / k6</t>
  </si>
  <si>
    <t>Seguridad / OWASP ZAP</t>
  </si>
  <si>
    <t>Ejemplo intencional: RF-04 y RNF-03 están SIN COBERTURA para mostrar cómo se detecta un requisito sin probar. En tu entrega no puede quedar ninguno (RF) sin caso.</t>
  </si>
  <si>
    <t>Resumen de cobertura (se calcula solo)</t>
  </si>
  <si>
    <t>No escribas aquí. Sirve para revisar tu entrega antes de enviarla.</t>
  </si>
  <si>
    <t>Indicador</t>
  </si>
  <si>
    <t>Total de requisitos</t>
  </si>
  <si>
    <t>Requisitos con al menos un caso</t>
  </si>
  <si>
    <t>% de requisitos cubiertos</t>
  </si>
  <si>
    <t>Requisitos sin cobertura</t>
  </si>
  <si>
    <t>Casos de prueba totales</t>
  </si>
  <si>
    <t>Casos de verificación numérica</t>
  </si>
  <si>
    <t>Casos "huérfanos" (requisito inexistente)</t>
  </si>
  <si>
    <t>¿Mínimo 20 casos?</t>
  </si>
  <si>
    <t>¿Mínimo 8 casos de verificación numérica?</t>
  </si>
  <si>
    <t>¿100 % de requisitos con caso de prueba?</t>
  </si>
  <si>
    <t>Requisitos</t>
  </si>
  <si>
    <t>Con caso</t>
  </si>
  <si>
    <t>% cubierto</t>
  </si>
  <si>
    <t>Veredicto de los casos</t>
  </si>
  <si>
    <t>Cantidad</t>
  </si>
  <si>
    <t>APROBADO</t>
  </si>
  <si>
    <t>FALLIDO</t>
  </si>
  <si>
    <t>BLOQUEADO</t>
  </si>
  <si>
    <t>Matriz de riesgos (sección 7 del plan maestro)</t>
  </si>
  <si>
    <t>Exposición = probabilidad × impacto (escala 1 a 5). Nivel: Alto ≥ 15 · Medio 8–14 · Bajo &lt; 8. Las pruebas se priorizan por el nivel de riesgo.</t>
  </si>
  <si>
    <t>ID</t>
  </si>
  <si>
    <t>Riesgo</t>
  </si>
  <si>
    <t>Probabilidad (1-5)</t>
  </si>
  <si>
    <t>Impacto (1-5)</t>
  </si>
  <si>
    <t>Exposición</t>
  </si>
  <si>
    <t>Estrategia de prueba / mitigación</t>
  </si>
  <si>
    <t>Casos relacionados</t>
  </si>
  <si>
    <t>Estado</t>
  </si>
  <si>
    <t>R-01</t>
  </si>
  <si>
    <t>MAPE mal calculado cuando la demanda real es 0</t>
  </si>
  <si>
    <t>Producto</t>
  </si>
  <si>
    <t>Casos límite y verificación numérica del MAPE</t>
  </si>
  <si>
    <t>CP-006, CP-009</t>
  </si>
  <si>
    <t>Abierto</t>
  </si>
  <si>
    <t>R-02</t>
  </si>
  <si>
    <t>Pronósticos distintos al cálculo de referencia de Producción</t>
  </si>
  <si>
    <t>Verificación numérica contra el Excel de Producción con tolerancia firmada</t>
  </si>
  <si>
    <t>CP-001 a CP-008</t>
  </si>
  <si>
    <t>R-03</t>
  </si>
  <si>
    <t>Carga de archivos CSV con formato inválido o corrupto</t>
  </si>
  <si>
    <t>Partición de equivalencia sobre archivos válidos e inválidos</t>
  </si>
  <si>
    <t>CP-020, CP-021, CP-022</t>
  </si>
  <si>
    <t>R-04</t>
  </si>
  <si>
    <t>Acceso indebido a funciones por rol</t>
  </si>
  <si>
    <t>Tabla de decisión rol × acción; pruebas de seguridad</t>
  </si>
  <si>
    <t>CP-014 a CP-017</t>
  </si>
  <si>
    <t>R-05</t>
  </si>
  <si>
    <t>Lentitud al calcular muchas series</t>
  </si>
  <si>
    <t>Prueba de carga con 500 series (k6) y medición de tiempos</t>
  </si>
  <si>
    <t>R-06</t>
  </si>
  <si>
    <t>Alertas que no se disparan en el umbral</t>
  </si>
  <si>
    <t>Valores límite alrededor del umbral</t>
  </si>
  <si>
    <t>R-07</t>
  </si>
  <si>
    <t>Reportes exportados que no coinciden con la pantalla</t>
  </si>
  <si>
    <t>Comparar valores exportados con los de pantalla</t>
  </si>
  <si>
    <t>R-08</t>
  </si>
  <si>
    <t>Producción no entrega el Excel de referencia a tiempo</t>
  </si>
  <si>
    <t>Proyecto</t>
  </si>
  <si>
    <t>Solicitarlo desde el corte 1 y acordar fecha; usar la hoja Calculo_Referencia como respaldo</t>
  </si>
  <si>
    <t>—</t>
  </si>
  <si>
    <t>R-09</t>
  </si>
  <si>
    <t>Cambios de requisitos sin avisar al equipo de pruebas</t>
  </si>
  <si>
    <t>Revisión de la matriz de trazabilidad en cada sprint</t>
  </si>
  <si>
    <t>R-10</t>
  </si>
  <si>
    <t>Exposición de datos de empresas en pruebas y reportes</t>
  </si>
  <si>
    <t>Anonimizar datos y capturas (Ley 1581 de 2012)</t>
  </si>
  <si>
    <t>Tipo de riesgo</t>
  </si>
  <si>
    <t>Escala 1-5</t>
  </si>
  <si>
    <t>Baja</t>
  </si>
  <si>
    <t>Aceptación</t>
  </si>
  <si>
    <t>Transición de estados</t>
  </si>
  <si>
    <t>Caja blanca</t>
  </si>
  <si>
    <t>Usabilidad</t>
  </si>
  <si>
    <t>Exploratoria</t>
  </si>
  <si>
    <t>Hoja de apoyo: alimenta las listas desplegables. No la modifiques.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</si>
</sst>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2" fontId="6" fillId="3" borderId="1" xfId="0" applyNumberFormat="1" applyFont="1" applyFill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10" fontId="7" fillId="0" borderId="1" xfId="0" applyNumberFormat="1" applyFont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64" fontId="9" fillId="0" borderId="1" xfId="0" applyNumberFormat="1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65" fontId="8" fillId="0" borderId="1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9" fontId="7" fillId="0" borderId="1" xfId="0" applyNumberFormat="1" applyFont="1" applyBorder="1" applyAlignment="1">
      <alignment horizontal="center" vertical="top" wrapText="1"/>
    </xf>
    <xf numFmtId="0" fontId="5" fillId="2" borderId="0" xfId="0" applyFont="1" applyFill="1"/>
    <xf numFmtId="0" fontId="7" fillId="0" borderId="0" xfId="0" applyFont="1"/>
  </cellXfs>
  <cellStyles count="1">
    <cellStyle name="Normal" xfId="0" builtinId="0"/>
  </cellStyles>
  <dxfs count="16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Requisitos y casos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Cobertura!$B$17</c:f>
              <c:strCache>
                <c:ptCount val="1"/>
                <c:pt idx="0">
                  <c:v>Requisitos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Cobertura!$A$18:$A$22</c:f>
              <c:strCache>
                <c:ptCount val="5"/>
                <c:pt idx="0">
                  <c:v>Gestión de datos</c:v>
                </c:pt>
                <c:pt idx="1">
                  <c:v>Pronóstico</c:v>
                </c:pt>
                <c:pt idx="2">
                  <c:v>Indicadores y reportes</c:v>
                </c:pt>
                <c:pt idx="3">
                  <c:v>Autenticación y roles</c:v>
                </c:pt>
                <c:pt idx="4">
                  <c:v>Transversal</c:v>
                </c:pt>
              </c:strCache>
            </c:strRef>
          </c:cat>
          <c:val>
            <c:numRef>
              <c:f>Cobertura!$B$18:$B$22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F-214F-B04F-13B01DB4D163}"/>
            </c:ext>
          </c:extLst>
        </c:ser>
        <c:ser>
          <c:idx val="1"/>
          <c:order val="1"/>
          <c:tx>
            <c:strRef>
              <c:f>Cobertura!$C$17</c:f>
              <c:strCache>
                <c:ptCount val="1"/>
                <c:pt idx="0">
                  <c:v>Con caso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Cobertura!$A$18:$A$22</c:f>
              <c:strCache>
                <c:ptCount val="5"/>
                <c:pt idx="0">
                  <c:v>Gestión de datos</c:v>
                </c:pt>
                <c:pt idx="1">
                  <c:v>Pronóstico</c:v>
                </c:pt>
                <c:pt idx="2">
                  <c:v>Indicadores y reportes</c:v>
                </c:pt>
                <c:pt idx="3">
                  <c:v>Autenticación y roles</c:v>
                </c:pt>
                <c:pt idx="4">
                  <c:v>Transversal</c:v>
                </c:pt>
              </c:strCache>
            </c:strRef>
          </c:cat>
          <c:val>
            <c:numRef>
              <c:f>Cobertura!$C$18:$C$22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F-214F-B04F-13B01DB4D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4427"/>
        <c:axId val="22249896"/>
      </c:barChart>
      <c:catAx>
        <c:axId val="780144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2249896"/>
        <c:crosses val="autoZero"/>
        <c:auto val="1"/>
        <c:lblAlgn val="ctr"/>
        <c:lblOffset val="100"/>
        <c:noMultiLvlLbl val="0"/>
      </c:catAx>
      <c:valAx>
        <c:axId val="22249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80144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16</xdr:row>
      <xdr:rowOff>51480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7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120" customWidth="1"/>
  </cols>
  <sheetData>
    <row r="1" spans="2:2" ht="18" x14ac:dyDescent="0.2">
      <c r="B1" s="1" t="s">
        <v>0</v>
      </c>
    </row>
    <row r="2" spans="2:2" x14ac:dyDescent="0.2">
      <c r="B2" s="2" t="s">
        <v>1</v>
      </c>
    </row>
    <row r="4" spans="2:2" x14ac:dyDescent="0.2">
      <c r="B4" s="3" t="s">
        <v>2</v>
      </c>
    </row>
    <row r="5" spans="2:2" ht="28" x14ac:dyDescent="0.2">
      <c r="B5" s="4" t="s">
        <v>3</v>
      </c>
    </row>
    <row r="6" spans="2:2" x14ac:dyDescent="0.2">
      <c r="B6" s="4"/>
    </row>
    <row r="7" spans="2:2" x14ac:dyDescent="0.2">
      <c r="B7" s="3" t="s">
        <v>4</v>
      </c>
    </row>
    <row r="8" spans="2:2" x14ac:dyDescent="0.2">
      <c r="B8" s="4" t="s">
        <v>5</v>
      </c>
    </row>
    <row r="9" spans="2:2" x14ac:dyDescent="0.2">
      <c r="B9" s="4" t="s">
        <v>6</v>
      </c>
    </row>
    <row r="10" spans="2:2" x14ac:dyDescent="0.2">
      <c r="B10" s="4" t="s">
        <v>7</v>
      </c>
    </row>
    <row r="11" spans="2:2" ht="28" x14ac:dyDescent="0.2">
      <c r="B11" s="4" t="s">
        <v>8</v>
      </c>
    </row>
    <row r="12" spans="2:2" x14ac:dyDescent="0.2">
      <c r="B12" s="4" t="s">
        <v>9</v>
      </c>
    </row>
    <row r="13" spans="2:2" x14ac:dyDescent="0.2">
      <c r="B13" s="4" t="s">
        <v>10</v>
      </c>
    </row>
    <row r="14" spans="2:2" x14ac:dyDescent="0.2">
      <c r="B14" s="4" t="s">
        <v>11</v>
      </c>
    </row>
    <row r="15" spans="2:2" x14ac:dyDescent="0.2">
      <c r="B15" s="4" t="s">
        <v>12</v>
      </c>
    </row>
    <row r="16" spans="2:2" x14ac:dyDescent="0.2">
      <c r="B16" s="4"/>
    </row>
    <row r="17" spans="2:2" x14ac:dyDescent="0.2">
      <c r="B17" s="3" t="s">
        <v>13</v>
      </c>
    </row>
    <row r="18" spans="2:2" ht="28" x14ac:dyDescent="0.2">
      <c r="B18" s="4" t="s">
        <v>14</v>
      </c>
    </row>
    <row r="19" spans="2:2" x14ac:dyDescent="0.2">
      <c r="B19" s="4"/>
    </row>
    <row r="20" spans="2:2" x14ac:dyDescent="0.2">
      <c r="B20" s="3" t="s">
        <v>15</v>
      </c>
    </row>
    <row r="21" spans="2:2" x14ac:dyDescent="0.2">
      <c r="B21" s="4" t="s">
        <v>16</v>
      </c>
    </row>
    <row r="22" spans="2:2" x14ac:dyDescent="0.2">
      <c r="B22" s="4" t="s">
        <v>17</v>
      </c>
    </row>
    <row r="23" spans="2:2" x14ac:dyDescent="0.2">
      <c r="B23" s="4" t="s">
        <v>18</v>
      </c>
    </row>
    <row r="24" spans="2:2" x14ac:dyDescent="0.2">
      <c r="B24" s="4" t="s">
        <v>19</v>
      </c>
    </row>
    <row r="25" spans="2:2" x14ac:dyDescent="0.2">
      <c r="B25" s="4" t="s">
        <v>20</v>
      </c>
    </row>
    <row r="26" spans="2:2" x14ac:dyDescent="0.2">
      <c r="B26" s="4" t="s">
        <v>21</v>
      </c>
    </row>
    <row r="27" spans="2:2" x14ac:dyDescent="0.2">
      <c r="B27" s="4" t="s">
        <v>22</v>
      </c>
    </row>
    <row r="28" spans="2:2" x14ac:dyDescent="0.2">
      <c r="B28" s="4"/>
    </row>
    <row r="29" spans="2:2" x14ac:dyDescent="0.2">
      <c r="B29" s="3" t="s">
        <v>23</v>
      </c>
    </row>
    <row r="30" spans="2:2" ht="28" x14ac:dyDescent="0.2">
      <c r="B30" s="4" t="s">
        <v>24</v>
      </c>
    </row>
    <row r="31" spans="2:2" ht="28" x14ac:dyDescent="0.2">
      <c r="B31" s="4" t="s">
        <v>25</v>
      </c>
    </row>
    <row r="32" spans="2:2" x14ac:dyDescent="0.2">
      <c r="B32" s="4"/>
    </row>
    <row r="33" spans="2:2" x14ac:dyDescent="0.2">
      <c r="B33" s="3" t="s">
        <v>26</v>
      </c>
    </row>
    <row r="34" spans="2:2" x14ac:dyDescent="0.2">
      <c r="B34" s="4" t="s">
        <v>27</v>
      </c>
    </row>
    <row r="35" spans="2:2" ht="28" x14ac:dyDescent="0.2">
      <c r="B35" s="4" t="s">
        <v>28</v>
      </c>
    </row>
    <row r="36" spans="2:2" ht="28" x14ac:dyDescent="0.2">
      <c r="B36" s="4" t="s">
        <v>29</v>
      </c>
    </row>
    <row r="37" spans="2:2" x14ac:dyDescent="0.2">
      <c r="B37" s="4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zoomScaleNormal="100" workbookViewId="0">
      <pane ySplit="4" topLeftCell="A5" activePane="bottomLeft" state="frozen"/>
      <selection pane="bottomLeft" activeCell="B10" sqref="B10"/>
    </sheetView>
  </sheetViews>
  <sheetFormatPr baseColWidth="10" defaultColWidth="8.6640625" defaultRowHeight="15" x14ac:dyDescent="0.2"/>
  <cols>
    <col min="1" max="1" width="14" customWidth="1"/>
    <col min="2" max="2" width="70" customWidth="1"/>
    <col min="3" max="3" width="24" customWidth="1"/>
    <col min="4" max="4" width="16" customWidth="1"/>
    <col min="5" max="5" width="12" customWidth="1"/>
  </cols>
  <sheetData>
    <row r="1" spans="1:5" ht="18" x14ac:dyDescent="0.2">
      <c r="A1" s="1" t="s">
        <v>31</v>
      </c>
    </row>
    <row r="2" spans="1:5" x14ac:dyDescent="0.2">
      <c r="A2" s="2" t="s">
        <v>32</v>
      </c>
    </row>
    <row r="4" spans="1:5" ht="31.5" customHeight="1" x14ac:dyDescent="0.2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</row>
    <row r="5" spans="1:5" ht="28" x14ac:dyDescent="0.2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</row>
    <row r="6" spans="1:5" x14ac:dyDescent="0.2">
      <c r="A6" s="6" t="s">
        <v>43</v>
      </c>
      <c r="B6" s="6" t="s">
        <v>44</v>
      </c>
      <c r="C6" s="6" t="s">
        <v>40</v>
      </c>
      <c r="D6" s="6" t="s">
        <v>41</v>
      </c>
      <c r="E6" s="6" t="s">
        <v>42</v>
      </c>
    </row>
    <row r="7" spans="1:5" x14ac:dyDescent="0.2">
      <c r="A7" s="6" t="s">
        <v>45</v>
      </c>
      <c r="B7" s="6" t="s">
        <v>46</v>
      </c>
      <c r="C7" s="6" t="s">
        <v>40</v>
      </c>
      <c r="D7" s="6" t="s">
        <v>41</v>
      </c>
      <c r="E7" s="6" t="s">
        <v>47</v>
      </c>
    </row>
    <row r="8" spans="1:5" x14ac:dyDescent="0.2">
      <c r="A8" s="6" t="s">
        <v>48</v>
      </c>
      <c r="B8" s="6" t="s">
        <v>49</v>
      </c>
      <c r="C8" s="6" t="s">
        <v>40</v>
      </c>
      <c r="D8" s="6" t="s">
        <v>41</v>
      </c>
      <c r="E8" s="6" t="s">
        <v>47</v>
      </c>
    </row>
    <row r="9" spans="1:5" x14ac:dyDescent="0.2">
      <c r="A9" s="6" t="s">
        <v>50</v>
      </c>
      <c r="B9" s="6" t="s">
        <v>51</v>
      </c>
      <c r="C9" s="6" t="s">
        <v>52</v>
      </c>
      <c r="D9" s="6" t="s">
        <v>41</v>
      </c>
      <c r="E9" s="6" t="s">
        <v>42</v>
      </c>
    </row>
    <row r="10" spans="1:5" x14ac:dyDescent="0.2">
      <c r="A10" s="6" t="s">
        <v>53</v>
      </c>
      <c r="B10" s="6" t="s">
        <v>54</v>
      </c>
      <c r="C10" s="6" t="s">
        <v>52</v>
      </c>
      <c r="D10" s="6" t="s">
        <v>41</v>
      </c>
      <c r="E10" s="6" t="s">
        <v>42</v>
      </c>
    </row>
    <row r="11" spans="1:5" x14ac:dyDescent="0.2">
      <c r="A11" s="6" t="s">
        <v>55</v>
      </c>
      <c r="B11" s="6" t="s">
        <v>56</v>
      </c>
      <c r="C11" s="6" t="s">
        <v>52</v>
      </c>
      <c r="D11" s="6" t="s">
        <v>41</v>
      </c>
      <c r="E11" s="6" t="s">
        <v>47</v>
      </c>
    </row>
    <row r="12" spans="1:5" x14ac:dyDescent="0.2">
      <c r="A12" s="6" t="s">
        <v>57</v>
      </c>
      <c r="B12" s="6" t="s">
        <v>58</v>
      </c>
      <c r="C12" s="6" t="s">
        <v>52</v>
      </c>
      <c r="D12" s="6" t="s">
        <v>41</v>
      </c>
      <c r="E12" s="6" t="s">
        <v>42</v>
      </c>
    </row>
    <row r="13" spans="1:5" x14ac:dyDescent="0.2">
      <c r="A13" s="6" t="s">
        <v>59</v>
      </c>
      <c r="B13" s="6" t="s">
        <v>60</v>
      </c>
      <c r="C13" s="6" t="s">
        <v>52</v>
      </c>
      <c r="D13" s="6" t="s">
        <v>41</v>
      </c>
      <c r="E13" s="6" t="s">
        <v>42</v>
      </c>
    </row>
    <row r="14" spans="1:5" x14ac:dyDescent="0.2">
      <c r="A14" s="6" t="s">
        <v>61</v>
      </c>
      <c r="B14" s="6" t="s">
        <v>62</v>
      </c>
      <c r="C14" s="6" t="s">
        <v>63</v>
      </c>
      <c r="D14" s="6" t="s">
        <v>41</v>
      </c>
      <c r="E14" s="6" t="s">
        <v>42</v>
      </c>
    </row>
    <row r="15" spans="1:5" x14ac:dyDescent="0.2">
      <c r="A15" s="6" t="s">
        <v>64</v>
      </c>
      <c r="B15" s="6" t="s">
        <v>65</v>
      </c>
      <c r="C15" s="6" t="s">
        <v>63</v>
      </c>
      <c r="D15" s="6" t="s">
        <v>41</v>
      </c>
      <c r="E15" s="6" t="s">
        <v>47</v>
      </c>
    </row>
    <row r="16" spans="1:5" x14ac:dyDescent="0.2">
      <c r="A16" s="6" t="s">
        <v>66</v>
      </c>
      <c r="B16" s="6" t="s">
        <v>67</v>
      </c>
      <c r="C16" s="6" t="s">
        <v>63</v>
      </c>
      <c r="D16" s="6" t="s">
        <v>41</v>
      </c>
      <c r="E16" s="6" t="s">
        <v>47</v>
      </c>
    </row>
    <row r="17" spans="1:5" ht="28" x14ac:dyDescent="0.2">
      <c r="A17" s="6" t="s">
        <v>68</v>
      </c>
      <c r="B17" s="6" t="s">
        <v>69</v>
      </c>
      <c r="C17" s="6" t="s">
        <v>70</v>
      </c>
      <c r="D17" s="6" t="s">
        <v>41</v>
      </c>
      <c r="E17" s="6" t="s">
        <v>42</v>
      </c>
    </row>
    <row r="18" spans="1:5" ht="28" x14ac:dyDescent="0.2">
      <c r="A18" s="6" t="s">
        <v>71</v>
      </c>
      <c r="B18" s="6" t="s">
        <v>72</v>
      </c>
      <c r="C18" s="6" t="s">
        <v>52</v>
      </c>
      <c r="D18" s="6" t="s">
        <v>73</v>
      </c>
      <c r="E18" s="6" t="s">
        <v>42</v>
      </c>
    </row>
    <row r="19" spans="1:5" x14ac:dyDescent="0.2">
      <c r="A19" s="6" t="s">
        <v>74</v>
      </c>
      <c r="B19" s="6" t="s">
        <v>75</v>
      </c>
      <c r="C19" s="6" t="s">
        <v>70</v>
      </c>
      <c r="D19" s="6" t="s">
        <v>73</v>
      </c>
      <c r="E19" s="6" t="s">
        <v>42</v>
      </c>
    </row>
    <row r="20" spans="1:5" ht="28" x14ac:dyDescent="0.2">
      <c r="A20" s="6" t="s">
        <v>76</v>
      </c>
      <c r="B20" s="6" t="s">
        <v>77</v>
      </c>
      <c r="C20" s="6" t="s">
        <v>78</v>
      </c>
      <c r="D20" s="6" t="s">
        <v>73</v>
      </c>
      <c r="E20" s="6" t="s">
        <v>47</v>
      </c>
    </row>
    <row r="21" spans="1:5" x14ac:dyDescent="0.2">
      <c r="A21" s="6"/>
      <c r="B21" s="6"/>
      <c r="C21" s="6"/>
      <c r="D21" s="6"/>
      <c r="E21" s="6"/>
    </row>
    <row r="22" spans="1:5" x14ac:dyDescent="0.2">
      <c r="A22" s="6"/>
      <c r="B22" s="6"/>
      <c r="C22" s="6"/>
      <c r="D22" s="6"/>
      <c r="E22" s="6"/>
    </row>
    <row r="23" spans="1:5" x14ac:dyDescent="0.2">
      <c r="A23" s="6"/>
      <c r="B23" s="6"/>
      <c r="C23" s="6"/>
      <c r="D23" s="6"/>
      <c r="E23" s="6"/>
    </row>
    <row r="24" spans="1:5" x14ac:dyDescent="0.2">
      <c r="A24" s="6"/>
      <c r="B24" s="6"/>
      <c r="C24" s="6"/>
      <c r="D24" s="6"/>
      <c r="E24" s="6"/>
    </row>
    <row r="25" spans="1:5" x14ac:dyDescent="0.2">
      <c r="A25" s="6"/>
      <c r="B25" s="6"/>
      <c r="C25" s="6"/>
      <c r="D25" s="6"/>
      <c r="E25" s="6"/>
    </row>
    <row r="26" spans="1:5" x14ac:dyDescent="0.2">
      <c r="A26" s="6"/>
      <c r="B26" s="6"/>
      <c r="C26" s="6"/>
      <c r="D26" s="6"/>
      <c r="E26" s="6"/>
    </row>
    <row r="27" spans="1:5" x14ac:dyDescent="0.2">
      <c r="A27" s="6"/>
      <c r="B27" s="6"/>
      <c r="C27" s="6"/>
      <c r="D27" s="6"/>
      <c r="E27" s="6"/>
    </row>
    <row r="28" spans="1:5" x14ac:dyDescent="0.2">
      <c r="A28" s="6"/>
      <c r="B28" s="6"/>
      <c r="C28" s="6"/>
      <c r="D28" s="6"/>
      <c r="E28" s="6"/>
    </row>
    <row r="29" spans="1:5" x14ac:dyDescent="0.2">
      <c r="A29" s="6"/>
      <c r="B29" s="6"/>
      <c r="C29" s="6"/>
      <c r="D29" s="6"/>
      <c r="E29" s="6"/>
    </row>
    <row r="30" spans="1:5" x14ac:dyDescent="0.2">
      <c r="A30" s="6"/>
      <c r="B30" s="6"/>
      <c r="C30" s="6"/>
      <c r="D30" s="6"/>
      <c r="E30" s="6"/>
    </row>
    <row r="31" spans="1:5" x14ac:dyDescent="0.2">
      <c r="A31" s="6"/>
      <c r="B31" s="6"/>
      <c r="C31" s="6"/>
      <c r="D31" s="6"/>
      <c r="E31" s="6"/>
    </row>
    <row r="32" spans="1:5" x14ac:dyDescent="0.2">
      <c r="A32" s="6"/>
      <c r="B32" s="6"/>
      <c r="C32" s="6"/>
      <c r="D32" s="6"/>
      <c r="E32" s="6"/>
    </row>
    <row r="33" spans="1:5" x14ac:dyDescent="0.2">
      <c r="A33" s="6"/>
      <c r="B33" s="6"/>
      <c r="C33" s="6"/>
      <c r="D33" s="6"/>
      <c r="E33" s="6"/>
    </row>
    <row r="34" spans="1:5" x14ac:dyDescent="0.2">
      <c r="A34" s="6"/>
      <c r="B34" s="6"/>
      <c r="C34" s="6"/>
      <c r="D34" s="6"/>
      <c r="E34" s="6"/>
    </row>
    <row r="35" spans="1:5" x14ac:dyDescent="0.2">
      <c r="A35" s="6"/>
      <c r="B35" s="6"/>
      <c r="C35" s="6"/>
      <c r="D35" s="6"/>
      <c r="E35" s="6"/>
    </row>
    <row r="36" spans="1:5" x14ac:dyDescent="0.2">
      <c r="A36" s="6"/>
      <c r="B36" s="6"/>
      <c r="C36" s="6"/>
      <c r="D36" s="6"/>
      <c r="E36" s="6"/>
    </row>
    <row r="37" spans="1:5" x14ac:dyDescent="0.2">
      <c r="A37" s="6"/>
      <c r="B37" s="6"/>
      <c r="C37" s="6"/>
      <c r="D37" s="6"/>
      <c r="E37" s="6"/>
    </row>
    <row r="38" spans="1:5" x14ac:dyDescent="0.2">
      <c r="A38" s="6"/>
      <c r="B38" s="6"/>
      <c r="C38" s="6"/>
      <c r="D38" s="6"/>
      <c r="E38" s="6"/>
    </row>
    <row r="39" spans="1:5" x14ac:dyDescent="0.2">
      <c r="A39" s="6"/>
      <c r="B39" s="6"/>
      <c r="C39" s="6"/>
      <c r="D39" s="6"/>
      <c r="E39" s="6"/>
    </row>
    <row r="40" spans="1:5" x14ac:dyDescent="0.2">
      <c r="A40" s="6"/>
      <c r="B40" s="6"/>
      <c r="C40" s="6"/>
      <c r="D40" s="6"/>
      <c r="E40" s="6"/>
    </row>
    <row r="41" spans="1:5" x14ac:dyDescent="0.2">
      <c r="A41" s="6"/>
      <c r="B41" s="6"/>
      <c r="C41" s="6"/>
      <c r="D41" s="6"/>
      <c r="E41" s="6"/>
    </row>
    <row r="42" spans="1:5" x14ac:dyDescent="0.2">
      <c r="A42" s="6"/>
      <c r="B42" s="6"/>
      <c r="C42" s="6"/>
      <c r="D42" s="6"/>
      <c r="E42" s="6"/>
    </row>
    <row r="43" spans="1:5" x14ac:dyDescent="0.2">
      <c r="A43" s="6"/>
      <c r="B43" s="6"/>
      <c r="C43" s="6"/>
      <c r="D43" s="6"/>
      <c r="E43" s="6"/>
    </row>
    <row r="44" spans="1:5" x14ac:dyDescent="0.2">
      <c r="A44" s="6"/>
      <c r="B44" s="6"/>
      <c r="C44" s="6"/>
      <c r="D44" s="6"/>
      <c r="E44" s="6"/>
    </row>
    <row r="45" spans="1:5" x14ac:dyDescent="0.2">
      <c r="A45" s="6"/>
      <c r="B45" s="6"/>
      <c r="C45" s="6"/>
      <c r="D45" s="6"/>
      <c r="E45" s="6"/>
    </row>
    <row r="46" spans="1:5" x14ac:dyDescent="0.2">
      <c r="A46" s="6"/>
      <c r="B46" s="6"/>
      <c r="C46" s="6"/>
      <c r="D46" s="6"/>
      <c r="E46" s="6"/>
    </row>
    <row r="47" spans="1:5" x14ac:dyDescent="0.2">
      <c r="A47" s="6"/>
      <c r="B47" s="6"/>
      <c r="C47" s="6"/>
      <c r="D47" s="6"/>
      <c r="E47" s="6"/>
    </row>
    <row r="48" spans="1:5" x14ac:dyDescent="0.2">
      <c r="A48" s="6"/>
      <c r="B48" s="6"/>
      <c r="C48" s="6"/>
      <c r="D48" s="6"/>
      <c r="E48" s="6"/>
    </row>
    <row r="49" spans="1:5" x14ac:dyDescent="0.2">
      <c r="A49" s="6"/>
      <c r="B49" s="6"/>
      <c r="C49" s="6"/>
      <c r="D49" s="6"/>
      <c r="E49" s="6"/>
    </row>
    <row r="50" spans="1:5" x14ac:dyDescent="0.2">
      <c r="A50" s="6"/>
      <c r="B50" s="6"/>
      <c r="C50" s="6"/>
      <c r="D50" s="6"/>
      <c r="E50" s="6"/>
    </row>
    <row r="51" spans="1:5" x14ac:dyDescent="0.2">
      <c r="A51" s="6"/>
      <c r="B51" s="6"/>
      <c r="C51" s="6"/>
      <c r="D51" s="6"/>
      <c r="E51" s="6"/>
    </row>
    <row r="52" spans="1:5" x14ac:dyDescent="0.2">
      <c r="A52" s="6"/>
      <c r="B52" s="6"/>
      <c r="C52" s="6"/>
      <c r="D52" s="6"/>
      <c r="E52" s="6"/>
    </row>
    <row r="53" spans="1:5" x14ac:dyDescent="0.2">
      <c r="A53" s="6"/>
      <c r="B53" s="6"/>
      <c r="C53" s="6"/>
      <c r="D53" s="6"/>
      <c r="E53" s="6"/>
    </row>
    <row r="54" spans="1:5" x14ac:dyDescent="0.2">
      <c r="A54" s="6"/>
      <c r="B54" s="6"/>
      <c r="C54" s="6"/>
      <c r="D54" s="6"/>
      <c r="E54" s="6"/>
    </row>
    <row r="55" spans="1:5" x14ac:dyDescent="0.2">
      <c r="A55" s="6"/>
      <c r="B55" s="6"/>
      <c r="C55" s="6"/>
      <c r="D55" s="6"/>
      <c r="E55" s="6"/>
    </row>
    <row r="56" spans="1:5" x14ac:dyDescent="0.2">
      <c r="A56" s="6"/>
      <c r="B56" s="6"/>
      <c r="C56" s="6"/>
      <c r="D56" s="6"/>
      <c r="E56" s="6"/>
    </row>
    <row r="57" spans="1:5" x14ac:dyDescent="0.2">
      <c r="A57" s="6"/>
      <c r="B57" s="6"/>
      <c r="C57" s="6"/>
      <c r="D57" s="6"/>
      <c r="E57" s="6"/>
    </row>
    <row r="58" spans="1:5" x14ac:dyDescent="0.2">
      <c r="A58" s="6"/>
      <c r="B58" s="6"/>
      <c r="C58" s="6"/>
      <c r="D58" s="6"/>
      <c r="E58" s="6"/>
    </row>
    <row r="59" spans="1:5" x14ac:dyDescent="0.2">
      <c r="A59" s="6"/>
      <c r="B59" s="6"/>
      <c r="C59" s="6"/>
      <c r="D59" s="6"/>
      <c r="E59" s="6"/>
    </row>
    <row r="60" spans="1:5" x14ac:dyDescent="0.2">
      <c r="A60" s="6"/>
      <c r="B60" s="6"/>
      <c r="C60" s="6"/>
      <c r="D60" s="6"/>
      <c r="E60" s="6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Listas!$A$2:$A$6</xm:f>
          </x14:formula1>
          <x14:formula2>
            <xm:f>0</xm:f>
          </x14:formula2>
          <xm:sqref>C5:C60</xm:sqref>
        </x14:dataValidation>
        <x14:dataValidation type="list" allowBlank="1" xr:uid="{00000000-0002-0000-0100-000001000000}">
          <x14:formula1>
            <xm:f>Listas!$B$2:$B$3</xm:f>
          </x14:formula1>
          <x14:formula2>
            <xm:f>0</xm:f>
          </x14:formula2>
          <xm:sqref>D5:D60</xm:sqref>
        </x14:dataValidation>
        <x14:dataValidation type="list" allowBlank="1" xr:uid="{00000000-0002-0000-0100-000002000000}">
          <x14:formula1>
            <xm:f>Listas!$C$2:$C$4</xm:f>
          </x14:formula1>
          <x14:formula2>
            <xm:f>0</xm:f>
          </x14:formula2>
          <xm:sqref>E5:E60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tabSelected="1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1" customWidth="1"/>
    <col min="2" max="2" width="13" customWidth="1"/>
    <col min="3" max="3" width="15" customWidth="1"/>
    <col min="4" max="6" width="10" customWidth="1"/>
    <col min="7" max="7" width="13" customWidth="1"/>
    <col min="8" max="8" width="3" customWidth="1"/>
    <col min="9" max="9" width="15" customWidth="1"/>
    <col min="10" max="12" width="10" customWidth="1"/>
    <col min="13" max="13" width="13" customWidth="1"/>
    <col min="15" max="15" width="3" customWidth="1"/>
    <col min="17" max="17" width="34" customWidth="1"/>
    <col min="18" max="18" width="14" customWidth="1"/>
  </cols>
  <sheetData>
    <row r="1" spans="1:18" ht="18" x14ac:dyDescent="0.2">
      <c r="A1" s="1" t="s">
        <v>79</v>
      </c>
    </row>
    <row r="2" spans="1:18" x14ac:dyDescent="0.2">
      <c r="A2" s="2" t="s">
        <v>80</v>
      </c>
    </row>
    <row r="4" spans="1:18" ht="31.5" customHeight="1" x14ac:dyDescent="0.2">
      <c r="A4" s="5" t="s">
        <v>81</v>
      </c>
      <c r="B4" s="5" t="s">
        <v>82</v>
      </c>
      <c r="C4" s="5" t="s">
        <v>83</v>
      </c>
      <c r="D4" s="5" t="s">
        <v>84</v>
      </c>
      <c r="E4" s="5" t="s">
        <v>85</v>
      </c>
      <c r="F4" s="5" t="s">
        <v>86</v>
      </c>
      <c r="G4" s="5" t="s">
        <v>87</v>
      </c>
      <c r="H4" s="7"/>
      <c r="I4" s="5" t="s">
        <v>88</v>
      </c>
      <c r="J4" s="5" t="s">
        <v>84</v>
      </c>
      <c r="K4" s="5" t="s">
        <v>85</v>
      </c>
      <c r="L4" s="5" t="s">
        <v>86</v>
      </c>
      <c r="M4" s="5" t="s">
        <v>87</v>
      </c>
      <c r="Q4" s="5" t="s">
        <v>89</v>
      </c>
      <c r="R4" s="5" t="s">
        <v>90</v>
      </c>
    </row>
    <row r="5" spans="1:18" x14ac:dyDescent="0.2">
      <c r="A5" s="8">
        <v>1</v>
      </c>
      <c r="B5" s="9">
        <v>120</v>
      </c>
      <c r="Q5" s="10" t="s">
        <v>91</v>
      </c>
      <c r="R5" s="11">
        <v>0.3</v>
      </c>
    </row>
    <row r="6" spans="1:18" x14ac:dyDescent="0.2">
      <c r="A6" s="8">
        <v>2</v>
      </c>
      <c r="B6" s="9">
        <v>132</v>
      </c>
      <c r="I6" s="12">
        <f>B5</f>
        <v>120</v>
      </c>
      <c r="J6" s="12">
        <f>B6-I6</f>
        <v>12</v>
      </c>
      <c r="K6" s="12">
        <f>ABS(J6)</f>
        <v>12</v>
      </c>
      <c r="L6" s="12">
        <f>J6^2</f>
        <v>144</v>
      </c>
      <c r="M6" s="13">
        <f>K6/B6</f>
        <v>9.0909090909090912E-2</v>
      </c>
      <c r="Q6" s="10" t="s">
        <v>92</v>
      </c>
      <c r="R6" s="14">
        <v>3</v>
      </c>
    </row>
    <row r="7" spans="1:18" x14ac:dyDescent="0.2">
      <c r="A7" s="8">
        <v>3</v>
      </c>
      <c r="B7" s="9">
        <v>128</v>
      </c>
      <c r="I7" s="12">
        <f>I6+$R$5*(B6-I6)</f>
        <v>123.6</v>
      </c>
      <c r="J7" s="12">
        <f>B7-I7</f>
        <v>4.4000000000000057</v>
      </c>
      <c r="K7" s="12">
        <f>ABS(J7)</f>
        <v>4.4000000000000057</v>
      </c>
      <c r="L7" s="12">
        <f>J7^2</f>
        <v>19.360000000000049</v>
      </c>
      <c r="M7" s="13">
        <f>K7/B7</f>
        <v>3.4375000000000044E-2</v>
      </c>
      <c r="Q7" s="2" t="s">
        <v>93</v>
      </c>
    </row>
    <row r="8" spans="1:18" x14ac:dyDescent="0.2">
      <c r="A8" s="8">
        <v>4</v>
      </c>
      <c r="B8" s="9">
        <v>141</v>
      </c>
      <c r="C8" s="12">
        <f>AVERAGE(B5:B7)</f>
        <v>126.66666666666667</v>
      </c>
      <c r="D8" s="12">
        <f>B8-C8</f>
        <v>14.333333333333329</v>
      </c>
      <c r="E8" s="12">
        <f>ABS(D8)</f>
        <v>14.333333333333329</v>
      </c>
      <c r="F8" s="12">
        <f>D8^2</f>
        <v>205.44444444444431</v>
      </c>
      <c r="G8" s="13">
        <f>E8/B8</f>
        <v>0.10165484633569737</v>
      </c>
      <c r="I8" s="12">
        <f>I7+$R$5*(B7-I7)</f>
        <v>124.92</v>
      </c>
      <c r="J8" s="12">
        <f>B8-I8</f>
        <v>16.079999999999998</v>
      </c>
      <c r="K8" s="12">
        <f>ABS(J8)</f>
        <v>16.079999999999998</v>
      </c>
      <c r="L8" s="12">
        <f>J8^2</f>
        <v>258.56639999999993</v>
      </c>
      <c r="M8" s="13">
        <f>K8/B8</f>
        <v>0.11404255319148934</v>
      </c>
    </row>
    <row r="9" spans="1:18" x14ac:dyDescent="0.2">
      <c r="A9" s="8">
        <v>5</v>
      </c>
      <c r="B9" s="9">
        <v>138</v>
      </c>
      <c r="C9" s="12">
        <f>AVERAGE(B6:B8)</f>
        <v>133.66666666666666</v>
      </c>
      <c r="D9" s="12">
        <f>B9-C9</f>
        <v>4.3333333333333428</v>
      </c>
      <c r="E9" s="12">
        <f>ABS(D9)</f>
        <v>4.3333333333333428</v>
      </c>
      <c r="F9" s="12">
        <f>D9^2</f>
        <v>18.77777777777786</v>
      </c>
      <c r="G9" s="13">
        <f>E9/B9</f>
        <v>3.1400966183574949E-2</v>
      </c>
      <c r="I9" s="12">
        <f>I8+$R$5*(B8-I8)</f>
        <v>129.744</v>
      </c>
      <c r="J9" s="12">
        <f>B9-I9</f>
        <v>8.2560000000000002</v>
      </c>
      <c r="K9" s="12">
        <f>ABS(J9)</f>
        <v>8.2560000000000002</v>
      </c>
      <c r="L9" s="12">
        <f>J9^2</f>
        <v>68.161535999999998</v>
      </c>
      <c r="M9" s="13">
        <f>K9/B9</f>
        <v>5.9826086956521737E-2</v>
      </c>
      <c r="Q9" s="5" t="s">
        <v>94</v>
      </c>
      <c r="R9" s="5" t="s">
        <v>90</v>
      </c>
    </row>
    <row r="10" spans="1:18" x14ac:dyDescent="0.2">
      <c r="A10" s="8">
        <v>6</v>
      </c>
      <c r="B10" s="9">
        <v>150</v>
      </c>
      <c r="C10" s="12">
        <f>AVERAGE(B7:B9)</f>
        <v>135.66666666666666</v>
      </c>
      <c r="D10" s="12">
        <f>B10-C10</f>
        <v>14.333333333333343</v>
      </c>
      <c r="E10" s="12">
        <f>ABS(D10)</f>
        <v>14.333333333333343</v>
      </c>
      <c r="F10" s="12">
        <f>D10^2</f>
        <v>205.44444444444471</v>
      </c>
      <c r="G10" s="13">
        <f>E10/B10</f>
        <v>9.5555555555555616E-2</v>
      </c>
      <c r="I10" s="12">
        <f>I9+$R$5*(B9-I9)</f>
        <v>132.2208</v>
      </c>
      <c r="J10" s="12">
        <f>B10-I10</f>
        <v>17.779200000000003</v>
      </c>
      <c r="K10" s="12">
        <f>ABS(J10)</f>
        <v>17.779200000000003</v>
      </c>
      <c r="L10" s="12">
        <f>J10^2</f>
        <v>316.09995264000008</v>
      </c>
      <c r="M10" s="13">
        <f>K10/B10</f>
        <v>0.11852800000000002</v>
      </c>
      <c r="Q10" s="10" t="s">
        <v>95</v>
      </c>
      <c r="R10" s="15">
        <f>AVERAGE(E8:E10)</f>
        <v>11.000000000000005</v>
      </c>
    </row>
    <row r="11" spans="1:18" x14ac:dyDescent="0.2">
      <c r="A11" s="8">
        <v>7</v>
      </c>
      <c r="B11" s="16"/>
      <c r="C11" s="12">
        <f>AVERAGE(B8:B10)</f>
        <v>143</v>
      </c>
      <c r="I11" s="12">
        <f>I10+$R$5*(B10-I10)</f>
        <v>137.55456000000001</v>
      </c>
      <c r="Q11" s="10" t="s">
        <v>96</v>
      </c>
      <c r="R11" s="15">
        <f>AVERAGE(F8:F10)</f>
        <v>143.22222222222229</v>
      </c>
    </row>
    <row r="12" spans="1:18" x14ac:dyDescent="0.2">
      <c r="Q12" s="10" t="s">
        <v>97</v>
      </c>
      <c r="R12" s="15">
        <f>AVERAGE(G8:G10)*100</f>
        <v>7.6203789358275973</v>
      </c>
    </row>
    <row r="13" spans="1:18" x14ac:dyDescent="0.2">
      <c r="Q13" s="10" t="s">
        <v>98</v>
      </c>
      <c r="R13" s="15">
        <f>C11</f>
        <v>143</v>
      </c>
    </row>
    <row r="14" spans="1:18" x14ac:dyDescent="0.2">
      <c r="A14" s="2" t="s">
        <v>99</v>
      </c>
      <c r="Q14" s="10" t="s">
        <v>100</v>
      </c>
      <c r="R14" s="15">
        <f>I11</f>
        <v>137.55456000000001</v>
      </c>
    </row>
    <row r="15" spans="1:18" x14ac:dyDescent="0.2">
      <c r="A15" s="2" t="s">
        <v>101</v>
      </c>
      <c r="Q15" s="10" t="s">
        <v>102</v>
      </c>
      <c r="R15" s="15">
        <f>AVERAGE(K6:K10)</f>
        <v>11.703040000000001</v>
      </c>
    </row>
    <row r="16" spans="1:18" x14ac:dyDescent="0.2">
      <c r="Q16" s="10" t="s">
        <v>103</v>
      </c>
      <c r="R16" s="15">
        <f>AVERAGE(L6:L10)</f>
        <v>161.23757772799999</v>
      </c>
    </row>
    <row r="17" spans="17:18" x14ac:dyDescent="0.2">
      <c r="Q17" s="10" t="s">
        <v>104</v>
      </c>
      <c r="R17" s="15">
        <f>AVERAGE(M6:M10)*100</f>
        <v>8.3536146211420412</v>
      </c>
    </row>
    <row r="18" spans="17:18" x14ac:dyDescent="0.2">
      <c r="Q18" s="10" t="s">
        <v>105</v>
      </c>
      <c r="R18" s="15">
        <f>INTERCEPT(B5:B10,A5:A10)</f>
        <v>116.73333333333335</v>
      </c>
    </row>
    <row r="19" spans="17:18" x14ac:dyDescent="0.2">
      <c r="Q19" s="10" t="s">
        <v>106</v>
      </c>
      <c r="R19" s="15">
        <f>SLOPE(B5:B10,A5:A10)</f>
        <v>5.1714285714285717</v>
      </c>
    </row>
    <row r="20" spans="17:18" x14ac:dyDescent="0.2">
      <c r="Q20" s="10" t="s">
        <v>107</v>
      </c>
      <c r="R20" s="15">
        <f>FORECAST(7,B5:B10,A5:A10)</f>
        <v>152.93333333333334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0" customWidth="1"/>
    <col min="2" max="2" width="11" customWidth="1"/>
    <col min="3" max="3" width="22" customWidth="1"/>
    <col min="4" max="4" width="16" customWidth="1"/>
    <col min="5" max="5" width="22" customWidth="1"/>
    <col min="6" max="6" width="10" customWidth="1"/>
    <col min="7" max="7" width="28" customWidth="1"/>
    <col min="8" max="8" width="36" customWidth="1"/>
    <col min="9" max="9" width="34" customWidth="1"/>
    <col min="10" max="10" width="36" customWidth="1"/>
    <col min="11" max="11" width="11" customWidth="1"/>
    <col min="12" max="12" width="16" customWidth="1"/>
    <col min="13" max="13" width="14" customWidth="1"/>
    <col min="14" max="15" width="12" customWidth="1"/>
    <col min="16" max="16" width="11" customWidth="1"/>
  </cols>
  <sheetData>
    <row r="1" spans="1:16" ht="18" x14ac:dyDescent="0.2">
      <c r="A1" s="1" t="s">
        <v>108</v>
      </c>
    </row>
    <row r="2" spans="1:16" x14ac:dyDescent="0.2">
      <c r="A2" s="2" t="s">
        <v>109</v>
      </c>
    </row>
    <row r="4" spans="1:16" ht="31.5" customHeight="1" x14ac:dyDescent="0.2">
      <c r="A4" s="5" t="s">
        <v>110</v>
      </c>
      <c r="B4" s="5" t="s">
        <v>33</v>
      </c>
      <c r="C4" s="5" t="s">
        <v>111</v>
      </c>
      <c r="D4" s="5" t="s">
        <v>112</v>
      </c>
      <c r="E4" s="5" t="s">
        <v>113</v>
      </c>
      <c r="F4" s="5" t="s">
        <v>37</v>
      </c>
      <c r="G4" s="5" t="s">
        <v>114</v>
      </c>
      <c r="H4" s="5" t="s">
        <v>115</v>
      </c>
      <c r="I4" s="5" t="s">
        <v>116</v>
      </c>
      <c r="J4" s="5" t="s">
        <v>117</v>
      </c>
      <c r="K4" s="5" t="s">
        <v>118</v>
      </c>
      <c r="L4" s="5" t="s">
        <v>119</v>
      </c>
      <c r="M4" s="5" t="s">
        <v>120</v>
      </c>
      <c r="N4" s="5" t="s">
        <v>121</v>
      </c>
      <c r="O4" s="5" t="s">
        <v>122</v>
      </c>
      <c r="P4" s="5" t="s">
        <v>123</v>
      </c>
    </row>
    <row r="5" spans="1:16" ht="28" x14ac:dyDescent="0.2">
      <c r="A5" s="16" t="s">
        <v>124</v>
      </c>
      <c r="B5" s="16" t="s">
        <v>50</v>
      </c>
      <c r="C5" s="10" t="str">
        <f>IF(B5="","",IFERROR(INDEX(Requisitos!$C$5:$C$60,MATCH(B5,Requisitos!$A$5:$A$60,0)),"¿Requisito no existe?"))</f>
        <v>Pronóstico</v>
      </c>
      <c r="D5" s="6" t="s">
        <v>125</v>
      </c>
      <c r="E5" s="6" t="s">
        <v>126</v>
      </c>
      <c r="F5" s="16" t="s">
        <v>42</v>
      </c>
      <c r="G5" s="6" t="s">
        <v>127</v>
      </c>
      <c r="H5" s="6" t="s">
        <v>128</v>
      </c>
      <c r="I5" s="6" t="s">
        <v>129</v>
      </c>
      <c r="J5" s="6" t="s">
        <v>130</v>
      </c>
      <c r="K5" s="9">
        <v>0.01</v>
      </c>
      <c r="L5" s="16"/>
      <c r="M5" s="17" t="str">
        <f>IFERROR(INDEX(Verificacion!$H$5:$H$24,MATCH(A5,Verificacion!$A$5:$A$24,0)),"PENDIENTE")</f>
        <v>APROBADO</v>
      </c>
      <c r="N5" s="16"/>
      <c r="O5" s="16"/>
      <c r="P5" s="16"/>
    </row>
    <row r="6" spans="1:16" x14ac:dyDescent="0.2">
      <c r="A6" s="16" t="s">
        <v>131</v>
      </c>
      <c r="B6" s="16" t="s">
        <v>50</v>
      </c>
      <c r="C6" s="10" t="str">
        <f>IF(B6="","",IFERROR(INDEX(Requisitos!$C$5:$C$60,MATCH(B6,Requisitos!$A$5:$A$60,0)),"¿Requisito no existe?"))</f>
        <v>Pronóstico</v>
      </c>
      <c r="D6" s="6" t="s">
        <v>125</v>
      </c>
      <c r="E6" s="6" t="s">
        <v>126</v>
      </c>
      <c r="F6" s="16" t="s">
        <v>42</v>
      </c>
      <c r="G6" s="6" t="s">
        <v>132</v>
      </c>
      <c r="H6" s="6" t="s">
        <v>132</v>
      </c>
      <c r="I6" s="6" t="s">
        <v>129</v>
      </c>
      <c r="J6" s="6" t="s">
        <v>133</v>
      </c>
      <c r="K6" s="9">
        <v>0.01</v>
      </c>
      <c r="L6" s="16"/>
      <c r="M6" s="17" t="str">
        <f>IFERROR(INDEX(Verificacion!$H$5:$H$24,MATCH(A6,Verificacion!$A$5:$A$24,0)),"PENDIENTE")</f>
        <v>APROBADO</v>
      </c>
      <c r="N6" s="16"/>
      <c r="O6" s="16"/>
      <c r="P6" s="16"/>
    </row>
    <row r="7" spans="1:16" x14ac:dyDescent="0.2">
      <c r="A7" s="16" t="s">
        <v>134</v>
      </c>
      <c r="B7" s="16" t="s">
        <v>50</v>
      </c>
      <c r="C7" s="10" t="str">
        <f>IF(B7="","",IFERROR(INDEX(Requisitos!$C$5:$C$60,MATCH(B7,Requisitos!$A$5:$A$60,0)),"¿Requisito no existe?"))</f>
        <v>Pronóstico</v>
      </c>
      <c r="D7" s="6" t="s">
        <v>125</v>
      </c>
      <c r="E7" s="6" t="s">
        <v>126</v>
      </c>
      <c r="F7" s="16" t="s">
        <v>42</v>
      </c>
      <c r="G7" s="6" t="s">
        <v>132</v>
      </c>
      <c r="H7" s="6" t="s">
        <v>132</v>
      </c>
      <c r="I7" s="6" t="s">
        <v>129</v>
      </c>
      <c r="J7" s="6" t="s">
        <v>135</v>
      </c>
      <c r="K7" s="9">
        <v>0.01</v>
      </c>
      <c r="L7" s="16"/>
      <c r="M7" s="17" t="str">
        <f>IFERROR(INDEX(Verificacion!$H$5:$H$24,MATCH(A7,Verificacion!$A$5:$A$24,0)),"PENDIENTE")</f>
        <v>APROBADO</v>
      </c>
      <c r="N7" s="16"/>
      <c r="O7" s="16"/>
      <c r="P7" s="16"/>
    </row>
    <row r="8" spans="1:16" x14ac:dyDescent="0.2">
      <c r="A8" s="16" t="s">
        <v>136</v>
      </c>
      <c r="B8" s="16" t="s">
        <v>59</v>
      </c>
      <c r="C8" s="10" t="str">
        <f>IF(B8="","",IFERROR(INDEX(Requisitos!$C$5:$C$60,MATCH(B8,Requisitos!$A$5:$A$60,0)),"¿Requisito no existe?"))</f>
        <v>Pronóstico</v>
      </c>
      <c r="D8" s="6" t="s">
        <v>125</v>
      </c>
      <c r="E8" s="6" t="s">
        <v>126</v>
      </c>
      <c r="F8" s="16" t="s">
        <v>42</v>
      </c>
      <c r="G8" s="6" t="s">
        <v>132</v>
      </c>
      <c r="H8" s="6" t="s">
        <v>132</v>
      </c>
      <c r="I8" s="6" t="s">
        <v>137</v>
      </c>
      <c r="J8" s="6" t="s">
        <v>138</v>
      </c>
      <c r="K8" s="9">
        <v>0.01</v>
      </c>
      <c r="L8" s="16"/>
      <c r="M8" s="17" t="str">
        <f>IFERROR(INDEX(Verificacion!$H$5:$H$24,MATCH(A8,Verificacion!$A$5:$A$24,0)),"PENDIENTE")</f>
        <v>APROBADO</v>
      </c>
      <c r="N8" s="16"/>
      <c r="O8" s="16"/>
      <c r="P8" s="16"/>
    </row>
    <row r="9" spans="1:16" x14ac:dyDescent="0.2">
      <c r="A9" s="16" t="s">
        <v>139</v>
      </c>
      <c r="B9" s="16" t="s">
        <v>59</v>
      </c>
      <c r="C9" s="10" t="str">
        <f>IF(B9="","",IFERROR(INDEX(Requisitos!$C$5:$C$60,MATCH(B9,Requisitos!$A$5:$A$60,0)),"¿Requisito no existe?"))</f>
        <v>Pronóstico</v>
      </c>
      <c r="D9" s="6" t="s">
        <v>125</v>
      </c>
      <c r="E9" s="6" t="s">
        <v>126</v>
      </c>
      <c r="F9" s="16" t="s">
        <v>42</v>
      </c>
      <c r="G9" s="6" t="s">
        <v>132</v>
      </c>
      <c r="H9" s="6" t="s">
        <v>132</v>
      </c>
      <c r="I9" s="6" t="s">
        <v>140</v>
      </c>
      <c r="J9" s="6" t="s">
        <v>141</v>
      </c>
      <c r="K9" s="9">
        <v>0.01</v>
      </c>
      <c r="L9" s="16"/>
      <c r="M9" s="17" t="str">
        <f>IFERROR(INDEX(Verificacion!$H$5:$H$24,MATCH(A9,Verificacion!$A$5:$A$24,0)),"PENDIENTE")</f>
        <v>APROBADO</v>
      </c>
      <c r="N9" s="16"/>
      <c r="O9" s="16"/>
      <c r="P9" s="16"/>
    </row>
    <row r="10" spans="1:16" ht="28" x14ac:dyDescent="0.2">
      <c r="A10" s="16" t="s">
        <v>142</v>
      </c>
      <c r="B10" s="16" t="s">
        <v>59</v>
      </c>
      <c r="C10" s="10" t="str">
        <f>IF(B10="","",IFERROR(INDEX(Requisitos!$C$5:$C$60,MATCH(B10,Requisitos!$A$5:$A$60,0)),"¿Requisito no existe?"))</f>
        <v>Pronóstico</v>
      </c>
      <c r="D10" s="6" t="s">
        <v>125</v>
      </c>
      <c r="E10" s="6" t="s">
        <v>126</v>
      </c>
      <c r="F10" s="16" t="s">
        <v>42</v>
      </c>
      <c r="G10" s="6" t="s">
        <v>132</v>
      </c>
      <c r="H10" s="6" t="s">
        <v>132</v>
      </c>
      <c r="I10" s="6" t="s">
        <v>143</v>
      </c>
      <c r="J10" s="6" t="s">
        <v>144</v>
      </c>
      <c r="K10" s="9">
        <v>0.01</v>
      </c>
      <c r="L10" s="16"/>
      <c r="M10" s="17" t="str">
        <f>IFERROR(INDEX(Verificacion!$H$5:$H$24,MATCH(A10,Verificacion!$A$5:$A$24,0)),"PENDIENTE")</f>
        <v>FALLIDO</v>
      </c>
      <c r="N10" s="16" t="s">
        <v>145</v>
      </c>
      <c r="O10" s="16"/>
      <c r="P10" s="16"/>
    </row>
    <row r="11" spans="1:16" x14ac:dyDescent="0.2">
      <c r="A11" s="16" t="s">
        <v>146</v>
      </c>
      <c r="B11" s="16" t="s">
        <v>53</v>
      </c>
      <c r="C11" s="10" t="str">
        <f>IF(B11="","",IFERROR(INDEX(Requisitos!$C$5:$C$60,MATCH(B11,Requisitos!$A$5:$A$60,0)),"¿Requisito no existe?"))</f>
        <v>Pronóstico</v>
      </c>
      <c r="D11" s="6" t="s">
        <v>125</v>
      </c>
      <c r="E11" s="6" t="s">
        <v>126</v>
      </c>
      <c r="F11" s="16" t="s">
        <v>42</v>
      </c>
      <c r="G11" s="6" t="s">
        <v>147</v>
      </c>
      <c r="H11" s="6" t="s">
        <v>148</v>
      </c>
      <c r="I11" s="6" t="s">
        <v>149</v>
      </c>
      <c r="J11" s="6" t="s">
        <v>150</v>
      </c>
      <c r="K11" s="9">
        <v>0.01</v>
      </c>
      <c r="L11" s="16"/>
      <c r="M11" s="17" t="str">
        <f>IFERROR(INDEX(Verificacion!$H$5:$H$24,MATCH(A11,Verificacion!$A$5:$A$24,0)),"PENDIENTE")</f>
        <v>APROBADO</v>
      </c>
      <c r="N11" s="16"/>
      <c r="O11" s="16"/>
      <c r="P11" s="16"/>
    </row>
    <row r="12" spans="1:16" x14ac:dyDescent="0.2">
      <c r="A12" s="16" t="s">
        <v>151</v>
      </c>
      <c r="B12" s="16" t="s">
        <v>57</v>
      </c>
      <c r="C12" s="10" t="str">
        <f>IF(B12="","",IFERROR(INDEX(Requisitos!$C$5:$C$60,MATCH(B12,Requisitos!$A$5:$A$60,0)),"¿Requisito no existe?"))</f>
        <v>Pronóstico</v>
      </c>
      <c r="D12" s="6" t="s">
        <v>125</v>
      </c>
      <c r="E12" s="6" t="s">
        <v>126</v>
      </c>
      <c r="F12" s="16" t="s">
        <v>42</v>
      </c>
      <c r="G12" s="6" t="s">
        <v>147</v>
      </c>
      <c r="H12" s="6" t="s">
        <v>152</v>
      </c>
      <c r="I12" s="6" t="s">
        <v>153</v>
      </c>
      <c r="J12" s="6" t="s">
        <v>154</v>
      </c>
      <c r="K12" s="9">
        <v>0.01</v>
      </c>
      <c r="L12" s="16"/>
      <c r="M12" s="17" t="str">
        <f>IFERROR(INDEX(Verificacion!$H$5:$H$24,MATCH(A12,Verificacion!$A$5:$A$24,0)),"PENDIENTE")</f>
        <v>APROBADO</v>
      </c>
      <c r="N12" s="16"/>
      <c r="O12" s="16"/>
      <c r="P12" s="16"/>
    </row>
    <row r="13" spans="1:16" ht="42" x14ac:dyDescent="0.2">
      <c r="A13" s="16" t="s">
        <v>155</v>
      </c>
      <c r="B13" s="16" t="s">
        <v>59</v>
      </c>
      <c r="C13" s="10" t="str">
        <f>IF(B13="","",IFERROR(INDEX(Requisitos!$C$5:$C$60,MATCH(B13,Requisitos!$A$5:$A$60,0)),"¿Requisito no existe?"))</f>
        <v>Pronóstico</v>
      </c>
      <c r="D13" s="6" t="s">
        <v>125</v>
      </c>
      <c r="E13" s="6" t="s">
        <v>156</v>
      </c>
      <c r="F13" s="16" t="s">
        <v>42</v>
      </c>
      <c r="G13" s="6" t="s">
        <v>157</v>
      </c>
      <c r="H13" s="6" t="s">
        <v>158</v>
      </c>
      <c r="I13" s="6" t="s">
        <v>159</v>
      </c>
      <c r="J13" s="6" t="s">
        <v>160</v>
      </c>
      <c r="K13" s="9" t="s">
        <v>161</v>
      </c>
      <c r="L13" s="16"/>
      <c r="M13" s="16" t="s">
        <v>162</v>
      </c>
      <c r="N13" s="16"/>
      <c r="O13" s="16"/>
      <c r="P13" s="16"/>
    </row>
    <row r="14" spans="1:16" ht="28" x14ac:dyDescent="0.2">
      <c r="A14" s="16" t="s">
        <v>163</v>
      </c>
      <c r="B14" s="16" t="s">
        <v>50</v>
      </c>
      <c r="C14" s="10" t="str">
        <f>IF(B14="","",IFERROR(INDEX(Requisitos!$C$5:$C$60,MATCH(B14,Requisitos!$A$5:$A$60,0)),"¿Requisito no existe?"))</f>
        <v>Pronóstico</v>
      </c>
      <c r="D14" s="6" t="s">
        <v>125</v>
      </c>
      <c r="E14" s="6" t="s">
        <v>156</v>
      </c>
      <c r="F14" s="16" t="s">
        <v>47</v>
      </c>
      <c r="G14" s="6" t="s">
        <v>164</v>
      </c>
      <c r="H14" s="6" t="s">
        <v>165</v>
      </c>
      <c r="I14" s="6" t="s">
        <v>166</v>
      </c>
      <c r="J14" s="6" t="s">
        <v>167</v>
      </c>
      <c r="K14" s="9" t="s">
        <v>161</v>
      </c>
      <c r="L14" s="16"/>
      <c r="M14" s="16" t="s">
        <v>162</v>
      </c>
      <c r="N14" s="16"/>
      <c r="O14" s="16"/>
      <c r="P14" s="16"/>
    </row>
    <row r="15" spans="1:16" ht="28" x14ac:dyDescent="0.2">
      <c r="A15" s="16" t="s">
        <v>168</v>
      </c>
      <c r="B15" s="16" t="s">
        <v>53</v>
      </c>
      <c r="C15" s="10" t="str">
        <f>IF(B15="","",IFERROR(INDEX(Requisitos!$C$5:$C$60,MATCH(B15,Requisitos!$A$5:$A$60,0)),"¿Requisito no existe?"))</f>
        <v>Pronóstico</v>
      </c>
      <c r="D15" s="6" t="s">
        <v>125</v>
      </c>
      <c r="E15" s="6" t="s">
        <v>156</v>
      </c>
      <c r="F15" s="16" t="s">
        <v>47</v>
      </c>
      <c r="G15" s="6" t="s">
        <v>147</v>
      </c>
      <c r="H15" s="6" t="s">
        <v>169</v>
      </c>
      <c r="I15" s="6" t="s">
        <v>170</v>
      </c>
      <c r="J15" s="6" t="s">
        <v>171</v>
      </c>
      <c r="K15" s="9" t="s">
        <v>161</v>
      </c>
      <c r="L15" s="16"/>
      <c r="M15" s="16" t="s">
        <v>162</v>
      </c>
      <c r="N15" s="16"/>
      <c r="O15" s="16"/>
      <c r="P15" s="16"/>
    </row>
    <row r="16" spans="1:16" ht="28" x14ac:dyDescent="0.2">
      <c r="A16" s="16" t="s">
        <v>172</v>
      </c>
      <c r="B16" s="16" t="s">
        <v>55</v>
      </c>
      <c r="C16" s="10" t="str">
        <f>IF(B16="","",IFERROR(INDEX(Requisitos!$C$5:$C$60,MATCH(B16,Requisitos!$A$5:$A$60,0)),"¿Requisito no existe?"))</f>
        <v>Pronóstico</v>
      </c>
      <c r="D16" s="6" t="s">
        <v>125</v>
      </c>
      <c r="E16" s="6" t="s">
        <v>156</v>
      </c>
      <c r="F16" s="16" t="s">
        <v>47</v>
      </c>
      <c r="G16" s="6" t="s">
        <v>147</v>
      </c>
      <c r="H16" s="6" t="s">
        <v>173</v>
      </c>
      <c r="I16" s="6" t="s">
        <v>174</v>
      </c>
      <c r="J16" s="6" t="s">
        <v>171</v>
      </c>
      <c r="K16" s="9" t="s">
        <v>161</v>
      </c>
      <c r="L16" s="16"/>
      <c r="M16" s="16" t="s">
        <v>162</v>
      </c>
      <c r="N16" s="16"/>
      <c r="O16" s="16"/>
      <c r="P16" s="16"/>
    </row>
    <row r="17" spans="1:16" x14ac:dyDescent="0.2">
      <c r="A17" s="16" t="s">
        <v>175</v>
      </c>
      <c r="B17" s="16" t="s">
        <v>50</v>
      </c>
      <c r="C17" s="10" t="str">
        <f>IF(B17="","",IFERROR(INDEX(Requisitos!$C$5:$C$60,MATCH(B17,Requisitos!$A$5:$A$60,0)),"¿Requisito no existe?"))</f>
        <v>Pronóstico</v>
      </c>
      <c r="D17" s="6" t="s">
        <v>125</v>
      </c>
      <c r="E17" s="6" t="s">
        <v>156</v>
      </c>
      <c r="F17" s="16" t="s">
        <v>47</v>
      </c>
      <c r="G17" s="6" t="s">
        <v>176</v>
      </c>
      <c r="H17" s="6" t="s">
        <v>177</v>
      </c>
      <c r="I17" s="6" t="s">
        <v>178</v>
      </c>
      <c r="J17" s="6" t="s">
        <v>179</v>
      </c>
      <c r="K17" s="9" t="s">
        <v>161</v>
      </c>
      <c r="L17" s="16"/>
      <c r="M17" s="16" t="s">
        <v>162</v>
      </c>
      <c r="N17" s="16"/>
      <c r="O17" s="16"/>
      <c r="P17" s="16"/>
    </row>
    <row r="18" spans="1:16" ht="28" x14ac:dyDescent="0.2">
      <c r="A18" s="16" t="s">
        <v>180</v>
      </c>
      <c r="B18" s="16" t="s">
        <v>68</v>
      </c>
      <c r="C18" s="10" t="str">
        <f>IF(B18="","",IFERROR(INDEX(Requisitos!$C$5:$C$60,MATCH(B18,Requisitos!$A$5:$A$60,0)),"¿Requisito no existe?"))</f>
        <v>Autenticación y roles</v>
      </c>
      <c r="D18" s="6" t="s">
        <v>181</v>
      </c>
      <c r="E18" s="6" t="s">
        <v>182</v>
      </c>
      <c r="F18" s="16" t="s">
        <v>42</v>
      </c>
      <c r="G18" s="6" t="s">
        <v>183</v>
      </c>
      <c r="H18" s="6" t="s">
        <v>184</v>
      </c>
      <c r="I18" s="6" t="s">
        <v>185</v>
      </c>
      <c r="J18" s="6" t="s">
        <v>186</v>
      </c>
      <c r="K18" s="9" t="s">
        <v>161</v>
      </c>
      <c r="L18" s="16"/>
      <c r="M18" s="16" t="s">
        <v>162</v>
      </c>
      <c r="N18" s="16"/>
      <c r="O18" s="16"/>
      <c r="P18" s="16"/>
    </row>
    <row r="19" spans="1:16" ht="28" x14ac:dyDescent="0.2">
      <c r="A19" s="16" t="s">
        <v>187</v>
      </c>
      <c r="B19" s="16" t="s">
        <v>68</v>
      </c>
      <c r="C19" s="10" t="str">
        <f>IF(B19="","",IFERROR(INDEX(Requisitos!$C$5:$C$60,MATCH(B19,Requisitos!$A$5:$A$60,0)),"¿Requisito no existe?"))</f>
        <v>Autenticación y roles</v>
      </c>
      <c r="D19" s="6" t="s">
        <v>181</v>
      </c>
      <c r="E19" s="6" t="s">
        <v>182</v>
      </c>
      <c r="F19" s="16" t="s">
        <v>42</v>
      </c>
      <c r="G19" s="6" t="s">
        <v>188</v>
      </c>
      <c r="H19" s="6" t="s">
        <v>189</v>
      </c>
      <c r="I19" s="6" t="s">
        <v>190</v>
      </c>
      <c r="J19" s="6" t="s">
        <v>191</v>
      </c>
      <c r="K19" s="9" t="s">
        <v>161</v>
      </c>
      <c r="L19" s="16"/>
      <c r="M19" s="16" t="s">
        <v>162</v>
      </c>
      <c r="N19" s="16"/>
      <c r="O19" s="16"/>
      <c r="P19" s="16"/>
    </row>
    <row r="20" spans="1:16" ht="28" x14ac:dyDescent="0.2">
      <c r="A20" s="16" t="s">
        <v>192</v>
      </c>
      <c r="B20" s="16" t="s">
        <v>74</v>
      </c>
      <c r="C20" s="10" t="str">
        <f>IF(B20="","",IFERROR(INDEX(Requisitos!$C$5:$C$60,MATCH(B20,Requisitos!$A$5:$A$60,0)),"¿Requisito no existe?"))</f>
        <v>Autenticación y roles</v>
      </c>
      <c r="D20" s="6" t="s">
        <v>193</v>
      </c>
      <c r="E20" s="6" t="s">
        <v>182</v>
      </c>
      <c r="F20" s="16" t="s">
        <v>42</v>
      </c>
      <c r="G20" s="6" t="s">
        <v>194</v>
      </c>
      <c r="H20" s="6" t="s">
        <v>195</v>
      </c>
      <c r="I20" s="6" t="s">
        <v>196</v>
      </c>
      <c r="J20" s="6" t="s">
        <v>197</v>
      </c>
      <c r="K20" s="9" t="s">
        <v>161</v>
      </c>
      <c r="L20" s="16"/>
      <c r="M20" s="16" t="s">
        <v>162</v>
      </c>
      <c r="N20" s="16"/>
      <c r="O20" s="16"/>
      <c r="P20" s="16"/>
    </row>
    <row r="21" spans="1:16" ht="28" x14ac:dyDescent="0.2">
      <c r="A21" s="16" t="s">
        <v>198</v>
      </c>
      <c r="B21" s="16" t="s">
        <v>68</v>
      </c>
      <c r="C21" s="10" t="str">
        <f>IF(B21="","",IFERROR(INDEX(Requisitos!$C$5:$C$60,MATCH(B21,Requisitos!$A$5:$A$60,0)),"¿Requisito no existe?"))</f>
        <v>Autenticación y roles</v>
      </c>
      <c r="D21" s="6" t="s">
        <v>181</v>
      </c>
      <c r="E21" s="6" t="s">
        <v>182</v>
      </c>
      <c r="F21" s="16" t="s">
        <v>47</v>
      </c>
      <c r="G21" s="6" t="s">
        <v>199</v>
      </c>
      <c r="H21" s="6" t="s">
        <v>200</v>
      </c>
      <c r="I21" s="6" t="s">
        <v>201</v>
      </c>
      <c r="J21" s="6" t="s">
        <v>202</v>
      </c>
      <c r="K21" s="9" t="s">
        <v>161</v>
      </c>
      <c r="L21" s="16"/>
      <c r="M21" s="16" t="s">
        <v>162</v>
      </c>
      <c r="N21" s="16"/>
      <c r="O21" s="16"/>
      <c r="P21" s="16"/>
    </row>
    <row r="22" spans="1:16" ht="28" x14ac:dyDescent="0.2">
      <c r="A22" s="16" t="s">
        <v>203</v>
      </c>
      <c r="B22" s="16" t="s">
        <v>61</v>
      </c>
      <c r="C22" s="10" t="str">
        <f>IF(B22="","",IFERROR(INDEX(Requisitos!$C$5:$C$60,MATCH(B22,Requisitos!$A$5:$A$60,0)),"¿Requisito no existe?"))</f>
        <v>Indicadores y reportes</v>
      </c>
      <c r="D22" s="6" t="s">
        <v>125</v>
      </c>
      <c r="E22" s="6" t="s">
        <v>156</v>
      </c>
      <c r="F22" s="16" t="s">
        <v>42</v>
      </c>
      <c r="G22" s="6" t="s">
        <v>204</v>
      </c>
      <c r="H22" s="6" t="s">
        <v>205</v>
      </c>
      <c r="I22" s="6" t="s">
        <v>206</v>
      </c>
      <c r="J22" s="6" t="s">
        <v>207</v>
      </c>
      <c r="K22" s="9" t="s">
        <v>161</v>
      </c>
      <c r="L22" s="16"/>
      <c r="M22" s="16" t="s">
        <v>162</v>
      </c>
      <c r="N22" s="16"/>
      <c r="O22" s="16"/>
      <c r="P22" s="16"/>
    </row>
    <row r="23" spans="1:16" x14ac:dyDescent="0.2">
      <c r="A23" s="16" t="s">
        <v>208</v>
      </c>
      <c r="B23" s="16" t="s">
        <v>61</v>
      </c>
      <c r="C23" s="10" t="str">
        <f>IF(B23="","",IFERROR(INDEX(Requisitos!$C$5:$C$60,MATCH(B23,Requisitos!$A$5:$A$60,0)),"¿Requisito no existe?"))</f>
        <v>Indicadores y reportes</v>
      </c>
      <c r="D23" s="6" t="s">
        <v>125</v>
      </c>
      <c r="E23" s="6" t="s">
        <v>156</v>
      </c>
      <c r="F23" s="16" t="s">
        <v>47</v>
      </c>
      <c r="G23" s="6" t="s">
        <v>209</v>
      </c>
      <c r="H23" s="6" t="s">
        <v>210</v>
      </c>
      <c r="I23" s="6" t="s">
        <v>206</v>
      </c>
      <c r="J23" s="6" t="s">
        <v>211</v>
      </c>
      <c r="K23" s="9" t="s">
        <v>161</v>
      </c>
      <c r="L23" s="16"/>
      <c r="M23" s="16" t="s">
        <v>162</v>
      </c>
      <c r="N23" s="16"/>
      <c r="O23" s="16"/>
      <c r="P23" s="16"/>
    </row>
    <row r="24" spans="1:16" ht="28" x14ac:dyDescent="0.2">
      <c r="A24" s="16" t="s">
        <v>212</v>
      </c>
      <c r="B24" s="16" t="s">
        <v>43</v>
      </c>
      <c r="C24" s="10" t="str">
        <f>IF(B24="","",IFERROR(INDEX(Requisitos!$C$5:$C$60,MATCH(B24,Requisitos!$A$5:$A$60,0)),"¿Requisito no existe?"))</f>
        <v>Gestión de datos</v>
      </c>
      <c r="D24" s="6" t="s">
        <v>181</v>
      </c>
      <c r="E24" s="6" t="s">
        <v>213</v>
      </c>
      <c r="F24" s="16" t="s">
        <v>42</v>
      </c>
      <c r="G24" s="6" t="s">
        <v>214</v>
      </c>
      <c r="H24" s="6" t="s">
        <v>215</v>
      </c>
      <c r="I24" s="6" t="s">
        <v>216</v>
      </c>
      <c r="J24" s="6" t="s">
        <v>217</v>
      </c>
      <c r="K24" s="9" t="s">
        <v>161</v>
      </c>
      <c r="L24" s="16"/>
      <c r="M24" s="16" t="s">
        <v>162</v>
      </c>
      <c r="N24" s="16"/>
      <c r="O24" s="16"/>
      <c r="P24" s="16"/>
    </row>
    <row r="25" spans="1:16" ht="28" x14ac:dyDescent="0.2">
      <c r="A25" s="16" t="s">
        <v>218</v>
      </c>
      <c r="B25" s="16" t="s">
        <v>43</v>
      </c>
      <c r="C25" s="10" t="str">
        <f>IF(B25="","",IFERROR(INDEX(Requisitos!$C$5:$C$60,MATCH(B25,Requisitos!$A$5:$A$60,0)),"¿Requisito no existe?"))</f>
        <v>Gestión de datos</v>
      </c>
      <c r="D25" s="6" t="s">
        <v>181</v>
      </c>
      <c r="E25" s="6" t="s">
        <v>213</v>
      </c>
      <c r="F25" s="16" t="s">
        <v>42</v>
      </c>
      <c r="G25" s="6" t="s">
        <v>214</v>
      </c>
      <c r="H25" s="6" t="s">
        <v>219</v>
      </c>
      <c r="I25" s="6" t="s">
        <v>216</v>
      </c>
      <c r="J25" s="6" t="s">
        <v>220</v>
      </c>
      <c r="K25" s="9" t="s">
        <v>161</v>
      </c>
      <c r="L25" s="16"/>
      <c r="M25" s="16" t="s">
        <v>162</v>
      </c>
      <c r="N25" s="16"/>
      <c r="O25" s="16"/>
      <c r="P25" s="16"/>
    </row>
    <row r="26" spans="1:16" x14ac:dyDescent="0.2">
      <c r="A26" s="16" t="s">
        <v>221</v>
      </c>
      <c r="B26" s="16" t="s">
        <v>45</v>
      </c>
      <c r="C26" s="10" t="str">
        <f>IF(B26="","",IFERROR(INDEX(Requisitos!$C$5:$C$60,MATCH(B26,Requisitos!$A$5:$A$60,0)),"¿Requisito no existe?"))</f>
        <v>Gestión de datos</v>
      </c>
      <c r="D26" s="6" t="s">
        <v>181</v>
      </c>
      <c r="E26" s="6" t="s">
        <v>213</v>
      </c>
      <c r="F26" s="16" t="s">
        <v>47</v>
      </c>
      <c r="G26" s="6" t="s">
        <v>214</v>
      </c>
      <c r="H26" s="6" t="s">
        <v>222</v>
      </c>
      <c r="I26" s="6" t="s">
        <v>223</v>
      </c>
      <c r="J26" s="6" t="s">
        <v>224</v>
      </c>
      <c r="K26" s="9" t="s">
        <v>161</v>
      </c>
      <c r="L26" s="16"/>
      <c r="M26" s="16" t="s">
        <v>162</v>
      </c>
      <c r="N26" s="16"/>
      <c r="O26" s="16"/>
      <c r="P26" s="16"/>
    </row>
    <row r="27" spans="1:16" ht="28" x14ac:dyDescent="0.2">
      <c r="A27" s="16" t="s">
        <v>225</v>
      </c>
      <c r="B27" s="16" t="s">
        <v>38</v>
      </c>
      <c r="C27" s="10" t="str">
        <f>IF(B27="","",IFERROR(INDEX(Requisitos!$C$5:$C$60,MATCH(B27,Requisitos!$A$5:$A$60,0)),"¿Requisito no existe?"))</f>
        <v>Gestión de datos</v>
      </c>
      <c r="D27" s="6" t="s">
        <v>181</v>
      </c>
      <c r="E27" s="6" t="s">
        <v>213</v>
      </c>
      <c r="F27" s="16" t="s">
        <v>42</v>
      </c>
      <c r="G27" s="6" t="s">
        <v>214</v>
      </c>
      <c r="H27" s="6" t="s">
        <v>226</v>
      </c>
      <c r="I27" s="6" t="s">
        <v>227</v>
      </c>
      <c r="J27" s="6" t="s">
        <v>228</v>
      </c>
      <c r="K27" s="9" t="s">
        <v>161</v>
      </c>
      <c r="L27" s="16"/>
      <c r="M27" s="16" t="s">
        <v>162</v>
      </c>
      <c r="N27" s="16"/>
      <c r="O27" s="16"/>
      <c r="P27" s="16"/>
    </row>
    <row r="28" spans="1:16" ht="42" x14ac:dyDescent="0.2">
      <c r="A28" s="16" t="s">
        <v>229</v>
      </c>
      <c r="B28" s="16" t="s">
        <v>64</v>
      </c>
      <c r="C28" s="10" t="str">
        <f>IF(B28="","",IFERROR(INDEX(Requisitos!$C$5:$C$60,MATCH(B28,Requisitos!$A$5:$A$60,0)),"¿Requisito no existe?"))</f>
        <v>Indicadores y reportes</v>
      </c>
      <c r="D28" s="6" t="s">
        <v>230</v>
      </c>
      <c r="E28" s="6" t="s">
        <v>231</v>
      </c>
      <c r="F28" s="16" t="s">
        <v>47</v>
      </c>
      <c r="G28" s="6" t="s">
        <v>232</v>
      </c>
      <c r="H28" s="6" t="s">
        <v>233</v>
      </c>
      <c r="I28" s="6" t="s">
        <v>234</v>
      </c>
      <c r="J28" s="6" t="s">
        <v>235</v>
      </c>
      <c r="K28" s="9" t="s">
        <v>161</v>
      </c>
      <c r="L28" s="16"/>
      <c r="M28" s="16" t="s">
        <v>162</v>
      </c>
      <c r="N28" s="16"/>
      <c r="O28" s="16"/>
      <c r="P28" s="16"/>
    </row>
    <row r="29" spans="1:16" ht="28" x14ac:dyDescent="0.2">
      <c r="A29" s="16" t="s">
        <v>236</v>
      </c>
      <c r="B29" s="16" t="s">
        <v>66</v>
      </c>
      <c r="C29" s="10" t="str">
        <f>IF(B29="","",IFERROR(INDEX(Requisitos!$C$5:$C$60,MATCH(B29,Requisitos!$A$5:$A$60,0)),"¿Requisito no existe?"))</f>
        <v>Indicadores y reportes</v>
      </c>
      <c r="D29" s="6" t="s">
        <v>230</v>
      </c>
      <c r="E29" s="6" t="s">
        <v>213</v>
      </c>
      <c r="F29" s="16" t="s">
        <v>47</v>
      </c>
      <c r="G29" s="6" t="s">
        <v>237</v>
      </c>
      <c r="H29" s="6" t="s">
        <v>238</v>
      </c>
      <c r="I29" s="6" t="s">
        <v>239</v>
      </c>
      <c r="J29" s="6" t="s">
        <v>240</v>
      </c>
      <c r="K29" s="9" t="s">
        <v>161</v>
      </c>
      <c r="L29" s="16"/>
      <c r="M29" s="16" t="s">
        <v>162</v>
      </c>
      <c r="N29" s="16"/>
      <c r="O29" s="16"/>
      <c r="P29" s="16"/>
    </row>
    <row r="30" spans="1:16" ht="28" x14ac:dyDescent="0.2">
      <c r="A30" s="16" t="s">
        <v>241</v>
      </c>
      <c r="B30" s="16" t="s">
        <v>71</v>
      </c>
      <c r="C30" s="10" t="str">
        <f>IF(B30="","",IFERROR(INDEX(Requisitos!$C$5:$C$60,MATCH(B30,Requisitos!$A$5:$A$60,0)),"¿Requisito no existe?"))</f>
        <v>Pronóstico</v>
      </c>
      <c r="D30" s="6" t="s">
        <v>242</v>
      </c>
      <c r="E30" s="6" t="s">
        <v>231</v>
      </c>
      <c r="F30" s="16" t="s">
        <v>42</v>
      </c>
      <c r="G30" s="6" t="s">
        <v>243</v>
      </c>
      <c r="H30" s="6" t="s">
        <v>244</v>
      </c>
      <c r="I30" s="6" t="s">
        <v>245</v>
      </c>
      <c r="J30" s="6" t="s">
        <v>246</v>
      </c>
      <c r="K30" s="9" t="s">
        <v>161</v>
      </c>
      <c r="L30" s="16"/>
      <c r="M30" s="16" t="s">
        <v>162</v>
      </c>
      <c r="N30" s="16"/>
      <c r="O30" s="16"/>
      <c r="P30" s="16"/>
    </row>
    <row r="31" spans="1:16" x14ac:dyDescent="0.2">
      <c r="A31" s="6"/>
      <c r="B31" s="6"/>
      <c r="C31" s="10" t="str">
        <f>IF(B31="","",IFERROR(INDEX(Requisitos!$C$5:$C$60,MATCH(B31,Requisitos!$A$5:$A$60,0)),"¿Requisito no existe?"))</f>
        <v/>
      </c>
      <c r="D31" s="6"/>
      <c r="E31" s="6"/>
      <c r="F31" s="6"/>
      <c r="G31" s="6"/>
      <c r="H31" s="6"/>
      <c r="I31" s="6"/>
      <c r="J31" s="6"/>
      <c r="K31" s="6"/>
      <c r="L31" s="6"/>
      <c r="M31" s="16"/>
      <c r="N31" s="6"/>
      <c r="O31" s="6"/>
      <c r="P31" s="6"/>
    </row>
    <row r="32" spans="1:16" x14ac:dyDescent="0.2">
      <c r="A32" s="6"/>
      <c r="B32" s="6"/>
      <c r="C32" s="10" t="str">
        <f>IF(B32="","",IFERROR(INDEX(Requisitos!$C$5:$C$60,MATCH(B32,Requisitos!$A$5:$A$60,0)),"¿Requisito no existe?"))</f>
        <v/>
      </c>
      <c r="D32" s="6"/>
      <c r="E32" s="6"/>
      <c r="F32" s="6"/>
      <c r="G32" s="6"/>
      <c r="H32" s="6"/>
      <c r="I32" s="6"/>
      <c r="J32" s="6"/>
      <c r="K32" s="6"/>
      <c r="L32" s="6"/>
      <c r="M32" s="16"/>
      <c r="N32" s="6"/>
      <c r="O32" s="6"/>
      <c r="P32" s="6"/>
    </row>
    <row r="33" spans="1:16" x14ac:dyDescent="0.2">
      <c r="A33" s="6"/>
      <c r="B33" s="6"/>
      <c r="C33" s="10" t="str">
        <f>IF(B33="","",IFERROR(INDEX(Requisitos!$C$5:$C$60,MATCH(B33,Requisitos!$A$5:$A$60,0)),"¿Requisito no existe?"))</f>
        <v/>
      </c>
      <c r="D33" s="6"/>
      <c r="E33" s="6"/>
      <c r="F33" s="6"/>
      <c r="G33" s="6"/>
      <c r="H33" s="6"/>
      <c r="I33" s="6"/>
      <c r="J33" s="6"/>
      <c r="K33" s="6"/>
      <c r="L33" s="6"/>
      <c r="M33" s="16"/>
      <c r="N33" s="6"/>
      <c r="O33" s="6"/>
      <c r="P33" s="6"/>
    </row>
    <row r="34" spans="1:16" x14ac:dyDescent="0.2">
      <c r="A34" s="6"/>
      <c r="B34" s="6"/>
      <c r="C34" s="10" t="str">
        <f>IF(B34="","",IFERROR(INDEX(Requisitos!$C$5:$C$60,MATCH(B34,Requisitos!$A$5:$A$60,0)),"¿Requisito no existe?"))</f>
        <v/>
      </c>
      <c r="D34" s="6"/>
      <c r="E34" s="6"/>
      <c r="F34" s="6"/>
      <c r="G34" s="6"/>
      <c r="H34" s="6"/>
      <c r="I34" s="6"/>
      <c r="J34" s="6"/>
      <c r="K34" s="6"/>
      <c r="L34" s="6"/>
      <c r="M34" s="16"/>
      <c r="N34" s="6"/>
      <c r="O34" s="6"/>
      <c r="P34" s="6"/>
    </row>
    <row r="35" spans="1:16" x14ac:dyDescent="0.2">
      <c r="A35" s="6"/>
      <c r="B35" s="6"/>
      <c r="C35" s="10" t="str">
        <f>IF(B35="","",IFERROR(INDEX(Requisitos!$C$5:$C$60,MATCH(B35,Requisitos!$A$5:$A$60,0)),"¿Requisito no existe?"))</f>
        <v/>
      </c>
      <c r="D35" s="6"/>
      <c r="E35" s="6"/>
      <c r="F35" s="6"/>
      <c r="G35" s="6"/>
      <c r="H35" s="6"/>
      <c r="I35" s="6"/>
      <c r="J35" s="6"/>
      <c r="K35" s="6"/>
      <c r="L35" s="6"/>
      <c r="M35" s="16"/>
      <c r="N35" s="6"/>
      <c r="O35" s="6"/>
      <c r="P35" s="6"/>
    </row>
    <row r="36" spans="1:16" x14ac:dyDescent="0.2">
      <c r="A36" s="6"/>
      <c r="B36" s="6"/>
      <c r="C36" s="10" t="str">
        <f>IF(B36="","",IFERROR(INDEX(Requisitos!$C$5:$C$60,MATCH(B36,Requisitos!$A$5:$A$60,0)),"¿Requisito no existe?"))</f>
        <v/>
      </c>
      <c r="D36" s="6"/>
      <c r="E36" s="6"/>
      <c r="F36" s="6"/>
      <c r="G36" s="6"/>
      <c r="H36" s="6"/>
      <c r="I36" s="6"/>
      <c r="J36" s="6"/>
      <c r="K36" s="6"/>
      <c r="L36" s="6"/>
      <c r="M36" s="16"/>
      <c r="N36" s="6"/>
      <c r="O36" s="6"/>
      <c r="P36" s="6"/>
    </row>
    <row r="37" spans="1:16" x14ac:dyDescent="0.2">
      <c r="A37" s="6"/>
      <c r="B37" s="6"/>
      <c r="C37" s="10" t="str">
        <f>IF(B37="","",IFERROR(INDEX(Requisitos!$C$5:$C$60,MATCH(B37,Requisitos!$A$5:$A$60,0)),"¿Requisito no existe?"))</f>
        <v/>
      </c>
      <c r="D37" s="6"/>
      <c r="E37" s="6"/>
      <c r="F37" s="6"/>
      <c r="G37" s="6"/>
      <c r="H37" s="6"/>
      <c r="I37" s="6"/>
      <c r="J37" s="6"/>
      <c r="K37" s="6"/>
      <c r="L37" s="6"/>
      <c r="M37" s="16"/>
      <c r="N37" s="6"/>
      <c r="O37" s="6"/>
      <c r="P37" s="6"/>
    </row>
    <row r="38" spans="1:16" x14ac:dyDescent="0.2">
      <c r="A38" s="6"/>
      <c r="B38" s="6"/>
      <c r="C38" s="10" t="str">
        <f>IF(B38="","",IFERROR(INDEX(Requisitos!$C$5:$C$60,MATCH(B38,Requisitos!$A$5:$A$60,0)),"¿Requisito no existe?"))</f>
        <v/>
      </c>
      <c r="D38" s="6"/>
      <c r="E38" s="6"/>
      <c r="F38" s="6"/>
      <c r="G38" s="6"/>
      <c r="H38" s="6"/>
      <c r="I38" s="6"/>
      <c r="J38" s="6"/>
      <c r="K38" s="6"/>
      <c r="L38" s="6"/>
      <c r="M38" s="16"/>
      <c r="N38" s="6"/>
      <c r="O38" s="6"/>
      <c r="P38" s="6"/>
    </row>
    <row r="39" spans="1:16" x14ac:dyDescent="0.2">
      <c r="A39" s="6"/>
      <c r="B39" s="6"/>
      <c r="C39" s="10" t="str">
        <f>IF(B39="","",IFERROR(INDEX(Requisitos!$C$5:$C$60,MATCH(B39,Requisitos!$A$5:$A$60,0)),"¿Requisito no existe?"))</f>
        <v/>
      </c>
      <c r="D39" s="6"/>
      <c r="E39" s="6"/>
      <c r="F39" s="6"/>
      <c r="G39" s="6"/>
      <c r="H39" s="6"/>
      <c r="I39" s="6"/>
      <c r="J39" s="6"/>
      <c r="K39" s="6"/>
      <c r="L39" s="6"/>
      <c r="M39" s="16"/>
      <c r="N39" s="6"/>
      <c r="O39" s="6"/>
      <c r="P39" s="6"/>
    </row>
    <row r="40" spans="1:16" x14ac:dyDescent="0.2">
      <c r="A40" s="6"/>
      <c r="B40" s="6"/>
      <c r="C40" s="10" t="str">
        <f>IF(B40="","",IFERROR(INDEX(Requisitos!$C$5:$C$60,MATCH(B40,Requisitos!$A$5:$A$60,0)),"¿Requisito no existe?"))</f>
        <v/>
      </c>
      <c r="D40" s="6"/>
      <c r="E40" s="6"/>
      <c r="F40" s="6"/>
      <c r="G40" s="6"/>
      <c r="H40" s="6"/>
      <c r="I40" s="6"/>
      <c r="J40" s="6"/>
      <c r="K40" s="6"/>
      <c r="L40" s="6"/>
      <c r="M40" s="16"/>
      <c r="N40" s="6"/>
      <c r="O40" s="6"/>
      <c r="P40" s="6"/>
    </row>
    <row r="41" spans="1:16" x14ac:dyDescent="0.2">
      <c r="A41" s="6"/>
      <c r="B41" s="6"/>
      <c r="C41" s="10" t="str">
        <f>IF(B41="","",IFERROR(INDEX(Requisitos!$C$5:$C$60,MATCH(B41,Requisitos!$A$5:$A$60,0)),"¿Requisito no existe?"))</f>
        <v/>
      </c>
      <c r="D41" s="6"/>
      <c r="E41" s="6"/>
      <c r="F41" s="6"/>
      <c r="G41" s="6"/>
      <c r="H41" s="6"/>
      <c r="I41" s="6"/>
      <c r="J41" s="6"/>
      <c r="K41" s="6"/>
      <c r="L41" s="6"/>
      <c r="M41" s="16"/>
      <c r="N41" s="6"/>
      <c r="O41" s="6"/>
      <c r="P41" s="6"/>
    </row>
    <row r="42" spans="1:16" x14ac:dyDescent="0.2">
      <c r="A42" s="6"/>
      <c r="B42" s="6"/>
      <c r="C42" s="10" t="str">
        <f>IF(B42="","",IFERROR(INDEX(Requisitos!$C$5:$C$60,MATCH(B42,Requisitos!$A$5:$A$60,0)),"¿Requisito no existe?"))</f>
        <v/>
      </c>
      <c r="D42" s="6"/>
      <c r="E42" s="6"/>
      <c r="F42" s="6"/>
      <c r="G42" s="6"/>
      <c r="H42" s="6"/>
      <c r="I42" s="6"/>
      <c r="J42" s="6"/>
      <c r="K42" s="6"/>
      <c r="L42" s="6"/>
      <c r="M42" s="16"/>
      <c r="N42" s="6"/>
      <c r="O42" s="6"/>
      <c r="P42" s="6"/>
    </row>
    <row r="43" spans="1:16" x14ac:dyDescent="0.2">
      <c r="A43" s="6"/>
      <c r="B43" s="6"/>
      <c r="C43" s="10" t="str">
        <f>IF(B43="","",IFERROR(INDEX(Requisitos!$C$5:$C$60,MATCH(B43,Requisitos!$A$5:$A$60,0)),"¿Requisito no existe?"))</f>
        <v/>
      </c>
      <c r="D43" s="6"/>
      <c r="E43" s="6"/>
      <c r="F43" s="6"/>
      <c r="G43" s="6"/>
      <c r="H43" s="6"/>
      <c r="I43" s="6"/>
      <c r="J43" s="6"/>
      <c r="K43" s="6"/>
      <c r="L43" s="6"/>
      <c r="M43" s="16"/>
      <c r="N43" s="6"/>
      <c r="O43" s="6"/>
      <c r="P43" s="6"/>
    </row>
    <row r="44" spans="1:16" x14ac:dyDescent="0.2">
      <c r="A44" s="6"/>
      <c r="B44" s="6"/>
      <c r="C44" s="10" t="str">
        <f>IF(B44="","",IFERROR(INDEX(Requisitos!$C$5:$C$60,MATCH(B44,Requisitos!$A$5:$A$60,0)),"¿Requisito no existe?"))</f>
        <v/>
      </c>
      <c r="D44" s="6"/>
      <c r="E44" s="6"/>
      <c r="F44" s="6"/>
      <c r="G44" s="6"/>
      <c r="H44" s="6"/>
      <c r="I44" s="6"/>
      <c r="J44" s="6"/>
      <c r="K44" s="6"/>
      <c r="L44" s="6"/>
      <c r="M44" s="16"/>
      <c r="N44" s="6"/>
      <c r="O44" s="6"/>
      <c r="P44" s="6"/>
    </row>
    <row r="45" spans="1:16" x14ac:dyDescent="0.2">
      <c r="A45" s="6"/>
      <c r="B45" s="6"/>
      <c r="C45" s="10" t="str">
        <f>IF(B45="","",IFERROR(INDEX(Requisitos!$C$5:$C$60,MATCH(B45,Requisitos!$A$5:$A$60,0)),"¿Requisito no existe?"))</f>
        <v/>
      </c>
      <c r="D45" s="6"/>
      <c r="E45" s="6"/>
      <c r="F45" s="6"/>
      <c r="G45" s="6"/>
      <c r="H45" s="6"/>
      <c r="I45" s="6"/>
      <c r="J45" s="6"/>
      <c r="K45" s="6"/>
      <c r="L45" s="6"/>
      <c r="M45" s="16"/>
      <c r="N45" s="6"/>
      <c r="O45" s="6"/>
      <c r="P45" s="6"/>
    </row>
    <row r="46" spans="1:16" x14ac:dyDescent="0.2">
      <c r="A46" s="6"/>
      <c r="B46" s="6"/>
      <c r="C46" s="10" t="str">
        <f>IF(B46="","",IFERROR(INDEX(Requisitos!$C$5:$C$60,MATCH(B46,Requisitos!$A$5:$A$60,0)),"¿Requisito no existe?"))</f>
        <v/>
      </c>
      <c r="D46" s="6"/>
      <c r="E46" s="6"/>
      <c r="F46" s="6"/>
      <c r="G46" s="6"/>
      <c r="H46" s="6"/>
      <c r="I46" s="6"/>
      <c r="J46" s="6"/>
      <c r="K46" s="6"/>
      <c r="L46" s="6"/>
      <c r="M46" s="16"/>
      <c r="N46" s="6"/>
      <c r="O46" s="6"/>
      <c r="P46" s="6"/>
    </row>
    <row r="47" spans="1:16" x14ac:dyDescent="0.2">
      <c r="A47" s="6"/>
      <c r="B47" s="6"/>
      <c r="C47" s="10" t="str">
        <f>IF(B47="","",IFERROR(INDEX(Requisitos!$C$5:$C$60,MATCH(B47,Requisitos!$A$5:$A$60,0)),"¿Requisito no existe?"))</f>
        <v/>
      </c>
      <c r="D47" s="6"/>
      <c r="E47" s="6"/>
      <c r="F47" s="6"/>
      <c r="G47" s="6"/>
      <c r="H47" s="6"/>
      <c r="I47" s="6"/>
      <c r="J47" s="6"/>
      <c r="K47" s="6"/>
      <c r="L47" s="6"/>
      <c r="M47" s="16"/>
      <c r="N47" s="6"/>
      <c r="O47" s="6"/>
      <c r="P47" s="6"/>
    </row>
    <row r="48" spans="1:16" x14ac:dyDescent="0.2">
      <c r="A48" s="6"/>
      <c r="B48" s="6"/>
      <c r="C48" s="10" t="str">
        <f>IF(B48="","",IFERROR(INDEX(Requisitos!$C$5:$C$60,MATCH(B48,Requisitos!$A$5:$A$60,0)),"¿Requisito no existe?"))</f>
        <v/>
      </c>
      <c r="D48" s="6"/>
      <c r="E48" s="6"/>
      <c r="F48" s="6"/>
      <c r="G48" s="6"/>
      <c r="H48" s="6"/>
      <c r="I48" s="6"/>
      <c r="J48" s="6"/>
      <c r="K48" s="6"/>
      <c r="L48" s="6"/>
      <c r="M48" s="16"/>
      <c r="N48" s="6"/>
      <c r="O48" s="6"/>
      <c r="P48" s="6"/>
    </row>
    <row r="49" spans="1:16" x14ac:dyDescent="0.2">
      <c r="A49" s="6"/>
      <c r="B49" s="6"/>
      <c r="C49" s="10" t="str">
        <f>IF(B49="","",IFERROR(INDEX(Requisitos!$C$5:$C$60,MATCH(B49,Requisitos!$A$5:$A$60,0)),"¿Requisito no existe?"))</f>
        <v/>
      </c>
      <c r="D49" s="6"/>
      <c r="E49" s="6"/>
      <c r="F49" s="6"/>
      <c r="G49" s="6"/>
      <c r="H49" s="6"/>
      <c r="I49" s="6"/>
      <c r="J49" s="6"/>
      <c r="K49" s="6"/>
      <c r="L49" s="6"/>
      <c r="M49" s="16"/>
      <c r="N49" s="6"/>
      <c r="O49" s="6"/>
      <c r="P49" s="6"/>
    </row>
    <row r="50" spans="1:16" x14ac:dyDescent="0.2">
      <c r="A50" s="6"/>
      <c r="B50" s="6"/>
      <c r="C50" s="10" t="str">
        <f>IF(B50="","",IFERROR(INDEX(Requisitos!$C$5:$C$60,MATCH(B50,Requisitos!$A$5:$A$60,0)),"¿Requisito no existe?"))</f>
        <v/>
      </c>
      <c r="D50" s="6"/>
      <c r="E50" s="6"/>
      <c r="F50" s="6"/>
      <c r="G50" s="6"/>
      <c r="H50" s="6"/>
      <c r="I50" s="6"/>
      <c r="J50" s="6"/>
      <c r="K50" s="6"/>
      <c r="L50" s="6"/>
      <c r="M50" s="16"/>
      <c r="N50" s="6"/>
      <c r="O50" s="6"/>
      <c r="P50" s="6"/>
    </row>
    <row r="51" spans="1:16" x14ac:dyDescent="0.2">
      <c r="A51" s="6"/>
      <c r="B51" s="6"/>
      <c r="C51" s="10" t="str">
        <f>IF(B51="","",IFERROR(INDEX(Requisitos!$C$5:$C$60,MATCH(B51,Requisitos!$A$5:$A$60,0)),"¿Requisito no existe?"))</f>
        <v/>
      </c>
      <c r="D51" s="6"/>
      <c r="E51" s="6"/>
      <c r="F51" s="6"/>
      <c r="G51" s="6"/>
      <c r="H51" s="6"/>
      <c r="I51" s="6"/>
      <c r="J51" s="6"/>
      <c r="K51" s="6"/>
      <c r="L51" s="6"/>
      <c r="M51" s="16"/>
      <c r="N51" s="6"/>
      <c r="O51" s="6"/>
      <c r="P51" s="6"/>
    </row>
    <row r="52" spans="1:16" x14ac:dyDescent="0.2">
      <c r="A52" s="6"/>
      <c r="B52" s="6"/>
      <c r="C52" s="10" t="str">
        <f>IF(B52="","",IFERROR(INDEX(Requisitos!$C$5:$C$60,MATCH(B52,Requisitos!$A$5:$A$60,0)),"¿Requisito no existe?"))</f>
        <v/>
      </c>
      <c r="D52" s="6"/>
      <c r="E52" s="6"/>
      <c r="F52" s="6"/>
      <c r="G52" s="6"/>
      <c r="H52" s="6"/>
      <c r="I52" s="6"/>
      <c r="J52" s="6"/>
      <c r="K52" s="6"/>
      <c r="L52" s="6"/>
      <c r="M52" s="16"/>
      <c r="N52" s="6"/>
      <c r="O52" s="6"/>
      <c r="P52" s="6"/>
    </row>
    <row r="53" spans="1:16" x14ac:dyDescent="0.2">
      <c r="A53" s="6"/>
      <c r="B53" s="6"/>
      <c r="C53" s="10" t="str">
        <f>IF(B53="","",IFERROR(INDEX(Requisitos!$C$5:$C$60,MATCH(B53,Requisitos!$A$5:$A$60,0)),"¿Requisito no existe?"))</f>
        <v/>
      </c>
      <c r="D53" s="6"/>
      <c r="E53" s="6"/>
      <c r="F53" s="6"/>
      <c r="G53" s="6"/>
      <c r="H53" s="6"/>
      <c r="I53" s="6"/>
      <c r="J53" s="6"/>
      <c r="K53" s="6"/>
      <c r="L53" s="6"/>
      <c r="M53" s="16"/>
      <c r="N53" s="6"/>
      <c r="O53" s="6"/>
      <c r="P53" s="6"/>
    </row>
    <row r="54" spans="1:16" x14ac:dyDescent="0.2">
      <c r="A54" s="6"/>
      <c r="B54" s="6"/>
      <c r="C54" s="10" t="str">
        <f>IF(B54="","",IFERROR(INDEX(Requisitos!$C$5:$C$60,MATCH(B54,Requisitos!$A$5:$A$60,0)),"¿Requisito no existe?"))</f>
        <v/>
      </c>
      <c r="D54" s="6"/>
      <c r="E54" s="6"/>
      <c r="F54" s="6"/>
      <c r="G54" s="6"/>
      <c r="H54" s="6"/>
      <c r="I54" s="6"/>
      <c r="J54" s="6"/>
      <c r="K54" s="6"/>
      <c r="L54" s="6"/>
      <c r="M54" s="16"/>
      <c r="N54" s="6"/>
      <c r="O54" s="6"/>
      <c r="P54" s="6"/>
    </row>
    <row r="55" spans="1:16" x14ac:dyDescent="0.2">
      <c r="A55" s="6"/>
      <c r="B55" s="6"/>
      <c r="C55" s="10" t="str">
        <f>IF(B55="","",IFERROR(INDEX(Requisitos!$C$5:$C$60,MATCH(B55,Requisitos!$A$5:$A$60,0)),"¿Requisito no existe?"))</f>
        <v/>
      </c>
      <c r="D55" s="6"/>
      <c r="E55" s="6"/>
      <c r="F55" s="6"/>
      <c r="G55" s="6"/>
      <c r="H55" s="6"/>
      <c r="I55" s="6"/>
      <c r="J55" s="6"/>
      <c r="K55" s="6"/>
      <c r="L55" s="6"/>
      <c r="M55" s="16"/>
      <c r="N55" s="6"/>
      <c r="O55" s="6"/>
      <c r="P55" s="6"/>
    </row>
    <row r="56" spans="1:16" x14ac:dyDescent="0.2">
      <c r="A56" s="6"/>
      <c r="B56" s="6"/>
      <c r="C56" s="10" t="str">
        <f>IF(B56="","",IFERROR(INDEX(Requisitos!$C$5:$C$60,MATCH(B56,Requisitos!$A$5:$A$60,0)),"¿Requisito no existe?"))</f>
        <v/>
      </c>
      <c r="D56" s="6"/>
      <c r="E56" s="6"/>
      <c r="F56" s="6"/>
      <c r="G56" s="6"/>
      <c r="H56" s="6"/>
      <c r="I56" s="6"/>
      <c r="J56" s="6"/>
      <c r="K56" s="6"/>
      <c r="L56" s="6"/>
      <c r="M56" s="16"/>
      <c r="N56" s="6"/>
      <c r="O56" s="6"/>
      <c r="P56" s="6"/>
    </row>
    <row r="57" spans="1:16" x14ac:dyDescent="0.2">
      <c r="A57" s="6"/>
      <c r="B57" s="6"/>
      <c r="C57" s="10" t="str">
        <f>IF(B57="","",IFERROR(INDEX(Requisitos!$C$5:$C$60,MATCH(B57,Requisitos!$A$5:$A$60,0)),"¿Requisito no existe?"))</f>
        <v/>
      </c>
      <c r="D57" s="6"/>
      <c r="E57" s="6"/>
      <c r="F57" s="6"/>
      <c r="G57" s="6"/>
      <c r="H57" s="6"/>
      <c r="I57" s="6"/>
      <c r="J57" s="6"/>
      <c r="K57" s="6"/>
      <c r="L57" s="6"/>
      <c r="M57" s="16"/>
      <c r="N57" s="6"/>
      <c r="O57" s="6"/>
      <c r="P57" s="6"/>
    </row>
    <row r="58" spans="1:16" x14ac:dyDescent="0.2">
      <c r="A58" s="6"/>
      <c r="B58" s="6"/>
      <c r="C58" s="10" t="str">
        <f>IF(B58="","",IFERROR(INDEX(Requisitos!$C$5:$C$60,MATCH(B58,Requisitos!$A$5:$A$60,0)),"¿Requisito no existe?"))</f>
        <v/>
      </c>
      <c r="D58" s="6"/>
      <c r="E58" s="6"/>
      <c r="F58" s="6"/>
      <c r="G58" s="6"/>
      <c r="H58" s="6"/>
      <c r="I58" s="6"/>
      <c r="J58" s="6"/>
      <c r="K58" s="6"/>
      <c r="L58" s="6"/>
      <c r="M58" s="16"/>
      <c r="N58" s="6"/>
      <c r="O58" s="6"/>
      <c r="P58" s="6"/>
    </row>
    <row r="59" spans="1:16" x14ac:dyDescent="0.2">
      <c r="A59" s="6"/>
      <c r="B59" s="6"/>
      <c r="C59" s="10" t="str">
        <f>IF(B59="","",IFERROR(INDEX(Requisitos!$C$5:$C$60,MATCH(B59,Requisitos!$A$5:$A$60,0)),"¿Requisito no existe?"))</f>
        <v/>
      </c>
      <c r="D59" s="6"/>
      <c r="E59" s="6"/>
      <c r="F59" s="6"/>
      <c r="G59" s="6"/>
      <c r="H59" s="6"/>
      <c r="I59" s="6"/>
      <c r="J59" s="6"/>
      <c r="K59" s="6"/>
      <c r="L59" s="6"/>
      <c r="M59" s="16"/>
      <c r="N59" s="6"/>
      <c r="O59" s="6"/>
      <c r="P59" s="6"/>
    </row>
    <row r="60" spans="1:16" x14ac:dyDescent="0.2">
      <c r="A60" s="6"/>
      <c r="B60" s="6"/>
      <c r="C60" s="10" t="str">
        <f>IF(B60="","",IFERROR(INDEX(Requisitos!$C$5:$C$60,MATCH(B60,Requisitos!$A$5:$A$60,0)),"¿Requisito no existe?"))</f>
        <v/>
      </c>
      <c r="D60" s="6"/>
      <c r="E60" s="6"/>
      <c r="F60" s="6"/>
      <c r="G60" s="6"/>
      <c r="H60" s="6"/>
      <c r="I60" s="6"/>
      <c r="J60" s="6"/>
      <c r="K60" s="6"/>
      <c r="L60" s="6"/>
      <c r="M60" s="16"/>
      <c r="N60" s="6"/>
      <c r="O60" s="6"/>
      <c r="P60" s="6"/>
    </row>
    <row r="61" spans="1:16" x14ac:dyDescent="0.2">
      <c r="A61" s="6"/>
      <c r="B61" s="6"/>
      <c r="C61" s="10" t="str">
        <f>IF(B61="","",IFERROR(INDEX(Requisitos!$C$5:$C$60,MATCH(B61,Requisitos!$A$5:$A$60,0)),"¿Requisito no existe?"))</f>
        <v/>
      </c>
      <c r="D61" s="6"/>
      <c r="E61" s="6"/>
      <c r="F61" s="6"/>
      <c r="G61" s="6"/>
      <c r="H61" s="6"/>
      <c r="I61" s="6"/>
      <c r="J61" s="6"/>
      <c r="K61" s="6"/>
      <c r="L61" s="6"/>
      <c r="M61" s="16"/>
      <c r="N61" s="6"/>
      <c r="O61" s="6"/>
      <c r="P61" s="6"/>
    </row>
    <row r="62" spans="1:16" x14ac:dyDescent="0.2">
      <c r="A62" s="6"/>
      <c r="B62" s="6"/>
      <c r="C62" s="10" t="str">
        <f>IF(B62="","",IFERROR(INDEX(Requisitos!$C$5:$C$60,MATCH(B62,Requisitos!$A$5:$A$60,0)),"¿Requisito no existe?"))</f>
        <v/>
      </c>
      <c r="D62" s="6"/>
      <c r="E62" s="6"/>
      <c r="F62" s="6"/>
      <c r="G62" s="6"/>
      <c r="H62" s="6"/>
      <c r="I62" s="6"/>
      <c r="J62" s="6"/>
      <c r="K62" s="6"/>
      <c r="L62" s="6"/>
      <c r="M62" s="16"/>
      <c r="N62" s="6"/>
      <c r="O62" s="6"/>
      <c r="P62" s="6"/>
    </row>
    <row r="63" spans="1:16" x14ac:dyDescent="0.2">
      <c r="A63" s="6"/>
      <c r="B63" s="6"/>
      <c r="C63" s="10" t="str">
        <f>IF(B63="","",IFERROR(INDEX(Requisitos!$C$5:$C$60,MATCH(B63,Requisitos!$A$5:$A$60,0)),"¿Requisito no existe?"))</f>
        <v/>
      </c>
      <c r="D63" s="6"/>
      <c r="E63" s="6"/>
      <c r="F63" s="6"/>
      <c r="G63" s="6"/>
      <c r="H63" s="6"/>
      <c r="I63" s="6"/>
      <c r="J63" s="6"/>
      <c r="K63" s="6"/>
      <c r="L63" s="6"/>
      <c r="M63" s="16"/>
      <c r="N63" s="6"/>
      <c r="O63" s="6"/>
      <c r="P63" s="6"/>
    </row>
    <row r="64" spans="1:16" x14ac:dyDescent="0.2">
      <c r="A64" s="6"/>
      <c r="B64" s="6"/>
      <c r="C64" s="10" t="str">
        <f>IF(B64="","",IFERROR(INDEX(Requisitos!$C$5:$C$60,MATCH(B64,Requisitos!$A$5:$A$60,0)),"¿Requisito no existe?"))</f>
        <v/>
      </c>
      <c r="D64" s="6"/>
      <c r="E64" s="6"/>
      <c r="F64" s="6"/>
      <c r="G64" s="6"/>
      <c r="H64" s="6"/>
      <c r="I64" s="6"/>
      <c r="J64" s="6"/>
      <c r="K64" s="6"/>
      <c r="L64" s="6"/>
      <c r="M64" s="16"/>
      <c r="N64" s="6"/>
      <c r="O64" s="6"/>
      <c r="P64" s="6"/>
    </row>
    <row r="65" spans="1:16" x14ac:dyDescent="0.2">
      <c r="A65" s="6"/>
      <c r="B65" s="6"/>
      <c r="C65" s="10" t="str">
        <f>IF(B65="","",IFERROR(INDEX(Requisitos!$C$5:$C$60,MATCH(B65,Requisitos!$A$5:$A$60,0)),"¿Requisito no existe?"))</f>
        <v/>
      </c>
      <c r="D65" s="6"/>
      <c r="E65" s="6"/>
      <c r="F65" s="6"/>
      <c r="G65" s="6"/>
      <c r="H65" s="6"/>
      <c r="I65" s="6"/>
      <c r="J65" s="6"/>
      <c r="K65" s="6"/>
      <c r="L65" s="6"/>
      <c r="M65" s="16"/>
      <c r="N65" s="6"/>
      <c r="O65" s="6"/>
      <c r="P65" s="6"/>
    </row>
    <row r="66" spans="1:16" x14ac:dyDescent="0.2">
      <c r="A66" s="6"/>
      <c r="B66" s="6"/>
      <c r="C66" s="10" t="str">
        <f>IF(B66="","",IFERROR(INDEX(Requisitos!$C$5:$C$60,MATCH(B66,Requisitos!$A$5:$A$60,0)),"¿Requisito no existe?"))</f>
        <v/>
      </c>
      <c r="D66" s="6"/>
      <c r="E66" s="6"/>
      <c r="F66" s="6"/>
      <c r="G66" s="6"/>
      <c r="H66" s="6"/>
      <c r="I66" s="6"/>
      <c r="J66" s="6"/>
      <c r="K66" s="6"/>
      <c r="L66" s="6"/>
      <c r="M66" s="16"/>
      <c r="N66" s="6"/>
      <c r="O66" s="6"/>
      <c r="P66" s="6"/>
    </row>
    <row r="67" spans="1:16" x14ac:dyDescent="0.2">
      <c r="A67" s="6"/>
      <c r="B67" s="6"/>
      <c r="C67" s="10" t="str">
        <f>IF(B67="","",IFERROR(INDEX(Requisitos!$C$5:$C$60,MATCH(B67,Requisitos!$A$5:$A$60,0)),"¿Requisito no existe?"))</f>
        <v/>
      </c>
      <c r="D67" s="6"/>
      <c r="E67" s="6"/>
      <c r="F67" s="6"/>
      <c r="G67" s="6"/>
      <c r="H67" s="6"/>
      <c r="I67" s="6"/>
      <c r="J67" s="6"/>
      <c r="K67" s="6"/>
      <c r="L67" s="6"/>
      <c r="M67" s="16"/>
      <c r="N67" s="6"/>
      <c r="O67" s="6"/>
      <c r="P67" s="6"/>
    </row>
    <row r="68" spans="1:16" x14ac:dyDescent="0.2">
      <c r="A68" s="6"/>
      <c r="B68" s="6"/>
      <c r="C68" s="10" t="str">
        <f>IF(B68="","",IFERROR(INDEX(Requisitos!$C$5:$C$60,MATCH(B68,Requisitos!$A$5:$A$60,0)),"¿Requisito no existe?"))</f>
        <v/>
      </c>
      <c r="D68" s="6"/>
      <c r="E68" s="6"/>
      <c r="F68" s="6"/>
      <c r="G68" s="6"/>
      <c r="H68" s="6"/>
      <c r="I68" s="6"/>
      <c r="J68" s="6"/>
      <c r="K68" s="6"/>
      <c r="L68" s="6"/>
      <c r="M68" s="16"/>
      <c r="N68" s="6"/>
      <c r="O68" s="6"/>
      <c r="P68" s="6"/>
    </row>
    <row r="69" spans="1:16" x14ac:dyDescent="0.2">
      <c r="A69" s="6"/>
      <c r="B69" s="6"/>
      <c r="C69" s="10" t="str">
        <f>IF(B69="","",IFERROR(INDEX(Requisitos!$C$5:$C$60,MATCH(B69,Requisitos!$A$5:$A$60,0)),"¿Requisito no existe?"))</f>
        <v/>
      </c>
      <c r="D69" s="6"/>
      <c r="E69" s="6"/>
      <c r="F69" s="6"/>
      <c r="G69" s="6"/>
      <c r="H69" s="6"/>
      <c r="I69" s="6"/>
      <c r="J69" s="6"/>
      <c r="K69" s="6"/>
      <c r="L69" s="6"/>
      <c r="M69" s="16"/>
      <c r="N69" s="6"/>
      <c r="O69" s="6"/>
      <c r="P69" s="6"/>
    </row>
    <row r="70" spans="1:16" x14ac:dyDescent="0.2">
      <c r="A70" s="6"/>
      <c r="B70" s="6"/>
      <c r="C70" s="10" t="str">
        <f>IF(B70="","",IFERROR(INDEX(Requisitos!$C$5:$C$60,MATCH(B70,Requisitos!$A$5:$A$60,0)),"¿Requisito no existe?"))</f>
        <v/>
      </c>
      <c r="D70" s="6"/>
      <c r="E70" s="6"/>
      <c r="F70" s="6"/>
      <c r="G70" s="6"/>
      <c r="H70" s="6"/>
      <c r="I70" s="6"/>
      <c r="J70" s="6"/>
      <c r="K70" s="6"/>
      <c r="L70" s="6"/>
      <c r="M70" s="16"/>
      <c r="N70" s="6"/>
      <c r="O70" s="6"/>
      <c r="P70" s="6"/>
    </row>
    <row r="71" spans="1:16" x14ac:dyDescent="0.2">
      <c r="A71" s="6"/>
      <c r="B71" s="6"/>
      <c r="C71" s="10" t="str">
        <f>IF(B71="","",IFERROR(INDEX(Requisitos!$C$5:$C$60,MATCH(B71,Requisitos!$A$5:$A$60,0)),"¿Requisito no existe?"))</f>
        <v/>
      </c>
      <c r="D71" s="6"/>
      <c r="E71" s="6"/>
      <c r="F71" s="6"/>
      <c r="G71" s="6"/>
      <c r="H71" s="6"/>
      <c r="I71" s="6"/>
      <c r="J71" s="6"/>
      <c r="K71" s="6"/>
      <c r="L71" s="6"/>
      <c r="M71" s="16"/>
      <c r="N71" s="6"/>
      <c r="O71" s="6"/>
      <c r="P71" s="6"/>
    </row>
    <row r="72" spans="1:16" x14ac:dyDescent="0.2">
      <c r="A72" s="6"/>
      <c r="B72" s="6"/>
      <c r="C72" s="10" t="str">
        <f>IF(B72="","",IFERROR(INDEX(Requisitos!$C$5:$C$60,MATCH(B72,Requisitos!$A$5:$A$60,0)),"¿Requisito no existe?"))</f>
        <v/>
      </c>
      <c r="D72" s="6"/>
      <c r="E72" s="6"/>
      <c r="F72" s="6"/>
      <c r="G72" s="6"/>
      <c r="H72" s="6"/>
      <c r="I72" s="6"/>
      <c r="J72" s="6"/>
      <c r="K72" s="6"/>
      <c r="L72" s="6"/>
      <c r="M72" s="16"/>
      <c r="N72" s="6"/>
      <c r="O72" s="6"/>
      <c r="P72" s="6"/>
    </row>
    <row r="73" spans="1:16" x14ac:dyDescent="0.2">
      <c r="A73" s="6"/>
      <c r="B73" s="6"/>
      <c r="C73" s="10" t="str">
        <f>IF(B73="","",IFERROR(INDEX(Requisitos!$C$5:$C$60,MATCH(B73,Requisitos!$A$5:$A$60,0)),"¿Requisito no existe?"))</f>
        <v/>
      </c>
      <c r="D73" s="6"/>
      <c r="E73" s="6"/>
      <c r="F73" s="6"/>
      <c r="G73" s="6"/>
      <c r="H73" s="6"/>
      <c r="I73" s="6"/>
      <c r="J73" s="6"/>
      <c r="K73" s="6"/>
      <c r="L73" s="6"/>
      <c r="M73" s="16"/>
      <c r="N73" s="6"/>
      <c r="O73" s="6"/>
      <c r="P73" s="6"/>
    </row>
    <row r="74" spans="1:16" x14ac:dyDescent="0.2">
      <c r="A74" s="6"/>
      <c r="B74" s="6"/>
      <c r="C74" s="10" t="str">
        <f>IF(B74="","",IFERROR(INDEX(Requisitos!$C$5:$C$60,MATCH(B74,Requisitos!$A$5:$A$60,0)),"¿Requisito no existe?"))</f>
        <v/>
      </c>
      <c r="D74" s="6"/>
      <c r="E74" s="6"/>
      <c r="F74" s="6"/>
      <c r="G74" s="6"/>
      <c r="H74" s="6"/>
      <c r="I74" s="6"/>
      <c r="J74" s="6"/>
      <c r="K74" s="6"/>
      <c r="L74" s="6"/>
      <c r="M74" s="16"/>
      <c r="N74" s="6"/>
      <c r="O74" s="6"/>
      <c r="P74" s="6"/>
    </row>
    <row r="75" spans="1:16" x14ac:dyDescent="0.2">
      <c r="A75" s="6"/>
      <c r="B75" s="6"/>
      <c r="C75" s="10" t="str">
        <f>IF(B75="","",IFERROR(INDEX(Requisitos!$C$5:$C$60,MATCH(B75,Requisitos!$A$5:$A$60,0)),"¿Requisito no existe?"))</f>
        <v/>
      </c>
      <c r="D75" s="6"/>
      <c r="E75" s="6"/>
      <c r="F75" s="6"/>
      <c r="G75" s="6"/>
      <c r="H75" s="6"/>
      <c r="I75" s="6"/>
      <c r="J75" s="6"/>
      <c r="K75" s="6"/>
      <c r="L75" s="6"/>
      <c r="M75" s="16"/>
      <c r="N75" s="6"/>
      <c r="O75" s="6"/>
      <c r="P75" s="6"/>
    </row>
    <row r="76" spans="1:16" x14ac:dyDescent="0.2">
      <c r="A76" s="6"/>
      <c r="B76" s="6"/>
      <c r="C76" s="10" t="str">
        <f>IF(B76="","",IFERROR(INDEX(Requisitos!$C$5:$C$60,MATCH(B76,Requisitos!$A$5:$A$60,0)),"¿Requisito no existe?"))</f>
        <v/>
      </c>
      <c r="D76" s="6"/>
      <c r="E76" s="6"/>
      <c r="F76" s="6"/>
      <c r="G76" s="6"/>
      <c r="H76" s="6"/>
      <c r="I76" s="6"/>
      <c r="J76" s="6"/>
      <c r="K76" s="6"/>
      <c r="L76" s="6"/>
      <c r="M76" s="16"/>
      <c r="N76" s="6"/>
      <c r="O76" s="6"/>
      <c r="P76" s="6"/>
    </row>
    <row r="77" spans="1:16" x14ac:dyDescent="0.2">
      <c r="A77" s="6"/>
      <c r="B77" s="6"/>
      <c r="C77" s="10" t="str">
        <f>IF(B77="","",IFERROR(INDEX(Requisitos!$C$5:$C$60,MATCH(B77,Requisitos!$A$5:$A$60,0)),"¿Requisito no existe?"))</f>
        <v/>
      </c>
      <c r="D77" s="6"/>
      <c r="E77" s="6"/>
      <c r="F77" s="6"/>
      <c r="G77" s="6"/>
      <c r="H77" s="6"/>
      <c r="I77" s="6"/>
      <c r="J77" s="6"/>
      <c r="K77" s="6"/>
      <c r="L77" s="6"/>
      <c r="M77" s="16"/>
      <c r="N77" s="6"/>
      <c r="O77" s="6"/>
      <c r="P77" s="6"/>
    </row>
    <row r="78" spans="1:16" x14ac:dyDescent="0.2">
      <c r="A78" s="6"/>
      <c r="B78" s="6"/>
      <c r="C78" s="10" t="str">
        <f>IF(B78="","",IFERROR(INDEX(Requisitos!$C$5:$C$60,MATCH(B78,Requisitos!$A$5:$A$60,0)),"¿Requisito no existe?"))</f>
        <v/>
      </c>
      <c r="D78" s="6"/>
      <c r="E78" s="6"/>
      <c r="F78" s="6"/>
      <c r="G78" s="6"/>
      <c r="H78" s="6"/>
      <c r="I78" s="6"/>
      <c r="J78" s="6"/>
      <c r="K78" s="6"/>
      <c r="L78" s="6"/>
      <c r="M78" s="16"/>
      <c r="N78" s="6"/>
      <c r="O78" s="6"/>
      <c r="P78" s="6"/>
    </row>
    <row r="79" spans="1:16" x14ac:dyDescent="0.2">
      <c r="A79" s="6"/>
      <c r="B79" s="6"/>
      <c r="C79" s="10" t="str">
        <f>IF(B79="","",IFERROR(INDEX(Requisitos!$C$5:$C$60,MATCH(B79,Requisitos!$A$5:$A$60,0)),"¿Requisito no existe?"))</f>
        <v/>
      </c>
      <c r="D79" s="6"/>
      <c r="E79" s="6"/>
      <c r="F79" s="6"/>
      <c r="G79" s="6"/>
      <c r="H79" s="6"/>
      <c r="I79" s="6"/>
      <c r="J79" s="6"/>
      <c r="K79" s="6"/>
      <c r="L79" s="6"/>
      <c r="M79" s="16"/>
      <c r="N79" s="6"/>
      <c r="O79" s="6"/>
      <c r="P79" s="6"/>
    </row>
    <row r="80" spans="1:16" x14ac:dyDescent="0.2">
      <c r="A80" s="6"/>
      <c r="B80" s="6"/>
      <c r="C80" s="10" t="str">
        <f>IF(B80="","",IFERROR(INDEX(Requisitos!$C$5:$C$60,MATCH(B80,Requisitos!$A$5:$A$60,0)),"¿Requisito no existe?"))</f>
        <v/>
      </c>
      <c r="D80" s="6"/>
      <c r="E80" s="6"/>
      <c r="F80" s="6"/>
      <c r="G80" s="6"/>
      <c r="H80" s="6"/>
      <c r="I80" s="6"/>
      <c r="J80" s="6"/>
      <c r="K80" s="6"/>
      <c r="L80" s="6"/>
      <c r="M80" s="16"/>
      <c r="N80" s="6"/>
      <c r="O80" s="6"/>
      <c r="P80" s="6"/>
    </row>
    <row r="81" spans="1:16" x14ac:dyDescent="0.2">
      <c r="A81" s="6"/>
      <c r="B81" s="6"/>
      <c r="C81" s="10" t="str">
        <f>IF(B81="","",IFERROR(INDEX(Requisitos!$C$5:$C$60,MATCH(B81,Requisitos!$A$5:$A$60,0)),"¿Requisito no existe?"))</f>
        <v/>
      </c>
      <c r="D81" s="6"/>
      <c r="E81" s="6"/>
      <c r="F81" s="6"/>
      <c r="G81" s="6"/>
      <c r="H81" s="6"/>
      <c r="I81" s="6"/>
      <c r="J81" s="6"/>
      <c r="K81" s="6"/>
      <c r="L81" s="6"/>
      <c r="M81" s="16"/>
      <c r="N81" s="6"/>
      <c r="O81" s="6"/>
      <c r="P81" s="6"/>
    </row>
    <row r="82" spans="1:16" x14ac:dyDescent="0.2">
      <c r="A82" s="6"/>
      <c r="B82" s="6"/>
      <c r="C82" s="10" t="str">
        <f>IF(B82="","",IFERROR(INDEX(Requisitos!$C$5:$C$60,MATCH(B82,Requisitos!$A$5:$A$60,0)),"¿Requisito no existe?"))</f>
        <v/>
      </c>
      <c r="D82" s="6"/>
      <c r="E82" s="6"/>
      <c r="F82" s="6"/>
      <c r="G82" s="6"/>
      <c r="H82" s="6"/>
      <c r="I82" s="6"/>
      <c r="J82" s="6"/>
      <c r="K82" s="6"/>
      <c r="L82" s="6"/>
      <c r="M82" s="16"/>
      <c r="N82" s="6"/>
      <c r="O82" s="6"/>
      <c r="P82" s="6"/>
    </row>
    <row r="83" spans="1:16" x14ac:dyDescent="0.2">
      <c r="A83" s="6"/>
      <c r="B83" s="6"/>
      <c r="C83" s="10" t="str">
        <f>IF(B83="","",IFERROR(INDEX(Requisitos!$C$5:$C$60,MATCH(B83,Requisitos!$A$5:$A$60,0)),"¿Requisito no existe?"))</f>
        <v/>
      </c>
      <c r="D83" s="6"/>
      <c r="E83" s="6"/>
      <c r="F83" s="6"/>
      <c r="G83" s="6"/>
      <c r="H83" s="6"/>
      <c r="I83" s="6"/>
      <c r="J83" s="6"/>
      <c r="K83" s="6"/>
      <c r="L83" s="6"/>
      <c r="M83" s="16"/>
      <c r="N83" s="6"/>
      <c r="O83" s="6"/>
      <c r="P83" s="6"/>
    </row>
    <row r="84" spans="1:16" x14ac:dyDescent="0.2">
      <c r="A84" s="6"/>
      <c r="B84" s="6"/>
      <c r="C84" s="10" t="str">
        <f>IF(B84="","",IFERROR(INDEX(Requisitos!$C$5:$C$60,MATCH(B84,Requisitos!$A$5:$A$60,0)),"¿Requisito no existe?"))</f>
        <v/>
      </c>
      <c r="D84" s="6"/>
      <c r="E84" s="6"/>
      <c r="F84" s="6"/>
      <c r="G84" s="6"/>
      <c r="H84" s="6"/>
      <c r="I84" s="6"/>
      <c r="J84" s="6"/>
      <c r="K84" s="6"/>
      <c r="L84" s="6"/>
      <c r="M84" s="16"/>
      <c r="N84" s="6"/>
      <c r="O84" s="6"/>
      <c r="P84" s="6"/>
    </row>
    <row r="85" spans="1:16" x14ac:dyDescent="0.2">
      <c r="A85" s="6"/>
      <c r="B85" s="6"/>
      <c r="C85" s="10" t="str">
        <f>IF(B85="","",IFERROR(INDEX(Requisitos!$C$5:$C$60,MATCH(B85,Requisitos!$A$5:$A$60,0)),"¿Requisito no existe?"))</f>
        <v/>
      </c>
      <c r="D85" s="6"/>
      <c r="E85" s="6"/>
      <c r="F85" s="6"/>
      <c r="G85" s="6"/>
      <c r="H85" s="6"/>
      <c r="I85" s="6"/>
      <c r="J85" s="6"/>
      <c r="K85" s="6"/>
      <c r="L85" s="6"/>
      <c r="M85" s="16"/>
      <c r="N85" s="6"/>
      <c r="O85" s="6"/>
      <c r="P85" s="6"/>
    </row>
    <row r="86" spans="1:16" x14ac:dyDescent="0.2">
      <c r="A86" s="6"/>
      <c r="B86" s="6"/>
      <c r="C86" s="10" t="str">
        <f>IF(B86="","",IFERROR(INDEX(Requisitos!$C$5:$C$60,MATCH(B86,Requisitos!$A$5:$A$60,0)),"¿Requisito no existe?"))</f>
        <v/>
      </c>
      <c r="D86" s="6"/>
      <c r="E86" s="6"/>
      <c r="F86" s="6"/>
      <c r="G86" s="6"/>
      <c r="H86" s="6"/>
      <c r="I86" s="6"/>
      <c r="J86" s="6"/>
      <c r="K86" s="6"/>
      <c r="L86" s="6"/>
      <c r="M86" s="16"/>
      <c r="N86" s="6"/>
      <c r="O86" s="6"/>
      <c r="P86" s="6"/>
    </row>
    <row r="87" spans="1:16" x14ac:dyDescent="0.2">
      <c r="A87" s="6"/>
      <c r="B87" s="6"/>
      <c r="C87" s="10" t="str">
        <f>IF(B87="","",IFERROR(INDEX(Requisitos!$C$5:$C$60,MATCH(B87,Requisitos!$A$5:$A$60,0)),"¿Requisito no existe?"))</f>
        <v/>
      </c>
      <c r="D87" s="6"/>
      <c r="E87" s="6"/>
      <c r="F87" s="6"/>
      <c r="G87" s="6"/>
      <c r="H87" s="6"/>
      <c r="I87" s="6"/>
      <c r="J87" s="6"/>
      <c r="K87" s="6"/>
      <c r="L87" s="6"/>
      <c r="M87" s="16"/>
      <c r="N87" s="6"/>
      <c r="O87" s="6"/>
      <c r="P87" s="6"/>
    </row>
    <row r="88" spans="1:16" x14ac:dyDescent="0.2">
      <c r="A88" s="6"/>
      <c r="B88" s="6"/>
      <c r="C88" s="10" t="str">
        <f>IF(B88="","",IFERROR(INDEX(Requisitos!$C$5:$C$60,MATCH(B88,Requisitos!$A$5:$A$60,0)),"¿Requisito no existe?"))</f>
        <v/>
      </c>
      <c r="D88" s="6"/>
      <c r="E88" s="6"/>
      <c r="F88" s="6"/>
      <c r="G88" s="6"/>
      <c r="H88" s="6"/>
      <c r="I88" s="6"/>
      <c r="J88" s="6"/>
      <c r="K88" s="6"/>
      <c r="L88" s="6"/>
      <c r="M88" s="16"/>
      <c r="N88" s="6"/>
      <c r="O88" s="6"/>
      <c r="P88" s="6"/>
    </row>
    <row r="89" spans="1:16" x14ac:dyDescent="0.2">
      <c r="A89" s="6"/>
      <c r="B89" s="6"/>
      <c r="C89" s="10" t="str">
        <f>IF(B89="","",IFERROR(INDEX(Requisitos!$C$5:$C$60,MATCH(B89,Requisitos!$A$5:$A$60,0)),"¿Requisito no existe?"))</f>
        <v/>
      </c>
      <c r="D89" s="6"/>
      <c r="E89" s="6"/>
      <c r="F89" s="6"/>
      <c r="G89" s="6"/>
      <c r="H89" s="6"/>
      <c r="I89" s="6"/>
      <c r="J89" s="6"/>
      <c r="K89" s="6"/>
      <c r="L89" s="6"/>
      <c r="M89" s="16"/>
      <c r="N89" s="6"/>
      <c r="O89" s="6"/>
      <c r="P89" s="6"/>
    </row>
    <row r="90" spans="1:16" x14ac:dyDescent="0.2">
      <c r="A90" s="6"/>
      <c r="B90" s="6"/>
      <c r="C90" s="10" t="str">
        <f>IF(B90="","",IFERROR(INDEX(Requisitos!$C$5:$C$60,MATCH(B90,Requisitos!$A$5:$A$60,0)),"¿Requisito no existe?"))</f>
        <v/>
      </c>
      <c r="D90" s="6"/>
      <c r="E90" s="6"/>
      <c r="F90" s="6"/>
      <c r="G90" s="6"/>
      <c r="H90" s="6"/>
      <c r="I90" s="6"/>
      <c r="J90" s="6"/>
      <c r="K90" s="6"/>
      <c r="L90" s="6"/>
      <c r="M90" s="16"/>
      <c r="N90" s="6"/>
      <c r="O90" s="6"/>
      <c r="P90" s="6"/>
    </row>
    <row r="91" spans="1:16" x14ac:dyDescent="0.2">
      <c r="A91" s="6"/>
      <c r="B91" s="6"/>
      <c r="C91" s="10" t="str">
        <f>IF(B91="","",IFERROR(INDEX(Requisitos!$C$5:$C$60,MATCH(B91,Requisitos!$A$5:$A$60,0)),"¿Requisito no existe?"))</f>
        <v/>
      </c>
      <c r="D91" s="6"/>
      <c r="E91" s="6"/>
      <c r="F91" s="6"/>
      <c r="G91" s="6"/>
      <c r="H91" s="6"/>
      <c r="I91" s="6"/>
      <c r="J91" s="6"/>
      <c r="K91" s="6"/>
      <c r="L91" s="6"/>
      <c r="M91" s="16"/>
      <c r="N91" s="6"/>
      <c r="O91" s="6"/>
      <c r="P91" s="6"/>
    </row>
    <row r="92" spans="1:16" x14ac:dyDescent="0.2">
      <c r="A92" s="6"/>
      <c r="B92" s="6"/>
      <c r="C92" s="10" t="str">
        <f>IF(B92="","",IFERROR(INDEX(Requisitos!$C$5:$C$60,MATCH(B92,Requisitos!$A$5:$A$60,0)),"¿Requisito no existe?"))</f>
        <v/>
      </c>
      <c r="D92" s="6"/>
      <c r="E92" s="6"/>
      <c r="F92" s="6"/>
      <c r="G92" s="6"/>
      <c r="H92" s="6"/>
      <c r="I92" s="6"/>
      <c r="J92" s="6"/>
      <c r="K92" s="6"/>
      <c r="L92" s="6"/>
      <c r="M92" s="16"/>
      <c r="N92" s="6"/>
      <c r="O92" s="6"/>
      <c r="P92" s="6"/>
    </row>
    <row r="93" spans="1:16" x14ac:dyDescent="0.2">
      <c r="A93" s="6"/>
      <c r="B93" s="6"/>
      <c r="C93" s="10" t="str">
        <f>IF(B93="","",IFERROR(INDEX(Requisitos!$C$5:$C$60,MATCH(B93,Requisitos!$A$5:$A$60,0)),"¿Requisito no existe?"))</f>
        <v/>
      </c>
      <c r="D93" s="6"/>
      <c r="E93" s="6"/>
      <c r="F93" s="6"/>
      <c r="G93" s="6"/>
      <c r="H93" s="6"/>
      <c r="I93" s="6"/>
      <c r="J93" s="6"/>
      <c r="K93" s="6"/>
      <c r="L93" s="6"/>
      <c r="M93" s="16"/>
      <c r="N93" s="6"/>
      <c r="O93" s="6"/>
      <c r="P93" s="6"/>
    </row>
    <row r="94" spans="1:16" x14ac:dyDescent="0.2">
      <c r="A94" s="6"/>
      <c r="B94" s="6"/>
      <c r="C94" s="10" t="str">
        <f>IF(B94="","",IFERROR(INDEX(Requisitos!$C$5:$C$60,MATCH(B94,Requisitos!$A$5:$A$60,0)),"¿Requisito no existe?"))</f>
        <v/>
      </c>
      <c r="D94" s="6"/>
      <c r="E94" s="6"/>
      <c r="F94" s="6"/>
      <c r="G94" s="6"/>
      <c r="H94" s="6"/>
      <c r="I94" s="6"/>
      <c r="J94" s="6"/>
      <c r="K94" s="6"/>
      <c r="L94" s="6"/>
      <c r="M94" s="16"/>
      <c r="N94" s="6"/>
      <c r="O94" s="6"/>
      <c r="P94" s="6"/>
    </row>
    <row r="95" spans="1:16" x14ac:dyDescent="0.2">
      <c r="A95" s="6"/>
      <c r="B95" s="6"/>
      <c r="C95" s="10" t="str">
        <f>IF(B95="","",IFERROR(INDEX(Requisitos!$C$5:$C$60,MATCH(B95,Requisitos!$A$5:$A$60,0)),"¿Requisito no existe?"))</f>
        <v/>
      </c>
      <c r="D95" s="6"/>
      <c r="E95" s="6"/>
      <c r="F95" s="6"/>
      <c r="G95" s="6"/>
      <c r="H95" s="6"/>
      <c r="I95" s="6"/>
      <c r="J95" s="6"/>
      <c r="K95" s="6"/>
      <c r="L95" s="6"/>
      <c r="M95" s="16"/>
      <c r="N95" s="6"/>
      <c r="O95" s="6"/>
      <c r="P95" s="6"/>
    </row>
    <row r="96" spans="1:16" x14ac:dyDescent="0.2">
      <c r="A96" s="6"/>
      <c r="B96" s="6"/>
      <c r="C96" s="10" t="str">
        <f>IF(B96="","",IFERROR(INDEX(Requisitos!$C$5:$C$60,MATCH(B96,Requisitos!$A$5:$A$60,0)),"¿Requisito no existe?"))</f>
        <v/>
      </c>
      <c r="D96" s="6"/>
      <c r="E96" s="6"/>
      <c r="F96" s="6"/>
      <c r="G96" s="6"/>
      <c r="H96" s="6"/>
      <c r="I96" s="6"/>
      <c r="J96" s="6"/>
      <c r="K96" s="6"/>
      <c r="L96" s="6"/>
      <c r="M96" s="16"/>
      <c r="N96" s="6"/>
      <c r="O96" s="6"/>
      <c r="P96" s="6"/>
    </row>
    <row r="97" spans="1:16" x14ac:dyDescent="0.2">
      <c r="A97" s="6"/>
      <c r="B97" s="6"/>
      <c r="C97" s="10" t="str">
        <f>IF(B97="","",IFERROR(INDEX(Requisitos!$C$5:$C$60,MATCH(B97,Requisitos!$A$5:$A$60,0)),"¿Requisito no existe?"))</f>
        <v/>
      </c>
      <c r="D97" s="6"/>
      <c r="E97" s="6"/>
      <c r="F97" s="6"/>
      <c r="G97" s="6"/>
      <c r="H97" s="6"/>
      <c r="I97" s="6"/>
      <c r="J97" s="6"/>
      <c r="K97" s="6"/>
      <c r="L97" s="6"/>
      <c r="M97" s="16"/>
      <c r="N97" s="6"/>
      <c r="O97" s="6"/>
      <c r="P97" s="6"/>
    </row>
    <row r="98" spans="1:16" x14ac:dyDescent="0.2">
      <c r="A98" s="6"/>
      <c r="B98" s="6"/>
      <c r="C98" s="10" t="str">
        <f>IF(B98="","",IFERROR(INDEX(Requisitos!$C$5:$C$60,MATCH(B98,Requisitos!$A$5:$A$60,0)),"¿Requisito no existe?"))</f>
        <v/>
      </c>
      <c r="D98" s="6"/>
      <c r="E98" s="6"/>
      <c r="F98" s="6"/>
      <c r="G98" s="6"/>
      <c r="H98" s="6"/>
      <c r="I98" s="6"/>
      <c r="J98" s="6"/>
      <c r="K98" s="6"/>
      <c r="L98" s="6"/>
      <c r="M98" s="16"/>
      <c r="N98" s="6"/>
      <c r="O98" s="6"/>
      <c r="P98" s="6"/>
    </row>
    <row r="99" spans="1:16" x14ac:dyDescent="0.2">
      <c r="A99" s="6"/>
      <c r="B99" s="6"/>
      <c r="C99" s="10" t="str">
        <f>IF(B99="","",IFERROR(INDEX(Requisitos!$C$5:$C$60,MATCH(B99,Requisitos!$A$5:$A$60,0)),"¿Requisito no existe?"))</f>
        <v/>
      </c>
      <c r="D99" s="6"/>
      <c r="E99" s="6"/>
      <c r="F99" s="6"/>
      <c r="G99" s="6"/>
      <c r="H99" s="6"/>
      <c r="I99" s="6"/>
      <c r="J99" s="6"/>
      <c r="K99" s="6"/>
      <c r="L99" s="6"/>
      <c r="M99" s="16"/>
      <c r="N99" s="6"/>
      <c r="O99" s="6"/>
      <c r="P99" s="6"/>
    </row>
    <row r="100" spans="1:16" x14ac:dyDescent="0.2">
      <c r="A100" s="6"/>
      <c r="B100" s="6"/>
      <c r="C100" s="10" t="str">
        <f>IF(B100="","",IFERROR(INDEX(Requisitos!$C$5:$C$60,MATCH(B100,Requisitos!$A$5:$A$60,0)),"¿Requisito no existe?"))</f>
        <v/>
      </c>
      <c r="D100" s="6"/>
      <c r="E100" s="6"/>
      <c r="F100" s="6"/>
      <c r="G100" s="6"/>
      <c r="H100" s="6"/>
      <c r="I100" s="6"/>
      <c r="J100" s="6"/>
      <c r="K100" s="6"/>
      <c r="L100" s="6"/>
      <c r="M100" s="16"/>
      <c r="N100" s="6"/>
      <c r="O100" s="6"/>
      <c r="P100" s="6"/>
    </row>
    <row r="101" spans="1:16" x14ac:dyDescent="0.2">
      <c r="A101" s="6"/>
      <c r="B101" s="6"/>
      <c r="C101" s="10" t="str">
        <f>IF(B101="","",IFERROR(INDEX(Requisitos!$C$5:$C$60,MATCH(B101,Requisitos!$A$5:$A$60,0)),"¿Requisito no existe?"))</f>
        <v/>
      </c>
      <c r="D101" s="6"/>
      <c r="E101" s="6"/>
      <c r="F101" s="6"/>
      <c r="G101" s="6"/>
      <c r="H101" s="6"/>
      <c r="I101" s="6"/>
      <c r="J101" s="6"/>
      <c r="K101" s="6"/>
      <c r="L101" s="6"/>
      <c r="M101" s="16"/>
      <c r="N101" s="6"/>
      <c r="O101" s="6"/>
      <c r="P101" s="6"/>
    </row>
    <row r="102" spans="1:16" x14ac:dyDescent="0.2">
      <c r="A102" s="6"/>
      <c r="B102" s="6"/>
      <c r="C102" s="10" t="str">
        <f>IF(B102="","",IFERROR(INDEX(Requisitos!$C$5:$C$60,MATCH(B102,Requisitos!$A$5:$A$60,0)),"¿Requisito no existe?"))</f>
        <v/>
      </c>
      <c r="D102" s="6"/>
      <c r="E102" s="6"/>
      <c r="F102" s="6"/>
      <c r="G102" s="6"/>
      <c r="H102" s="6"/>
      <c r="I102" s="6"/>
      <c r="J102" s="6"/>
      <c r="K102" s="6"/>
      <c r="L102" s="6"/>
      <c r="M102" s="16"/>
      <c r="N102" s="6"/>
      <c r="O102" s="6"/>
      <c r="P102" s="6"/>
    </row>
    <row r="103" spans="1:16" x14ac:dyDescent="0.2">
      <c r="A103" s="6"/>
      <c r="B103" s="6"/>
      <c r="C103" s="10" t="str">
        <f>IF(B103="","",IFERROR(INDEX(Requisitos!$C$5:$C$60,MATCH(B103,Requisitos!$A$5:$A$60,0)),"¿Requisito no existe?"))</f>
        <v/>
      </c>
      <c r="D103" s="6"/>
      <c r="E103" s="6"/>
      <c r="F103" s="6"/>
      <c r="G103" s="6"/>
      <c r="H103" s="6"/>
      <c r="I103" s="6"/>
      <c r="J103" s="6"/>
      <c r="K103" s="6"/>
      <c r="L103" s="6"/>
      <c r="M103" s="16"/>
      <c r="N103" s="6"/>
      <c r="O103" s="6"/>
      <c r="P103" s="6"/>
    </row>
    <row r="104" spans="1:16" x14ac:dyDescent="0.2">
      <c r="A104" s="6"/>
      <c r="B104" s="6"/>
      <c r="C104" s="10" t="str">
        <f>IF(B104="","",IFERROR(INDEX(Requisitos!$C$5:$C$60,MATCH(B104,Requisitos!$A$5:$A$60,0)),"¿Requisito no existe?"))</f>
        <v/>
      </c>
      <c r="D104" s="6"/>
      <c r="E104" s="6"/>
      <c r="F104" s="6"/>
      <c r="G104" s="6"/>
      <c r="H104" s="6"/>
      <c r="I104" s="6"/>
      <c r="J104" s="6"/>
      <c r="K104" s="6"/>
      <c r="L104" s="6"/>
      <c r="M104" s="16"/>
      <c r="N104" s="6"/>
      <c r="O104" s="6"/>
      <c r="P104" s="6"/>
    </row>
    <row r="106" spans="1:16" x14ac:dyDescent="0.2">
      <c r="A106" s="2" t="s">
        <v>247</v>
      </c>
    </row>
  </sheetData>
  <conditionalFormatting sqref="M5:M104">
    <cfRule type="cellIs" dxfId="15" priority="2" operator="equal">
      <formula>"APROBADO"</formula>
    </cfRule>
    <cfRule type="cellIs" dxfId="14" priority="3" operator="equal">
      <formula>"FALLIDO"</formula>
    </cfRule>
    <cfRule type="cellIs" dxfId="13" priority="4" operator="equal">
      <formula>"BLOQUEADO"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300-000000000000}">
          <x14:formula1>
            <xm:f>Listas!$D$2:$D$8</xm:f>
          </x14:formula1>
          <x14:formula2>
            <xm:f>0</xm:f>
          </x14:formula2>
          <xm:sqref>D5:D104</xm:sqref>
        </x14:dataValidation>
        <x14:dataValidation type="list" allowBlank="1" xr:uid="{00000000-0002-0000-0300-000001000000}">
          <x14:formula1>
            <xm:f>Listas!$E$2:$E$9</xm:f>
          </x14:formula1>
          <x14:formula2>
            <xm:f>0</xm:f>
          </x14:formula2>
          <xm:sqref>E5:E104</xm:sqref>
        </x14:dataValidation>
        <x14:dataValidation type="list" allowBlank="1" xr:uid="{00000000-0002-0000-0300-000002000000}">
          <x14:formula1>
            <xm:f>Listas!$C$2:$C$4</xm:f>
          </x14:formula1>
          <x14:formula2>
            <xm:f>0</xm:f>
          </x14:formula2>
          <xm:sqref>F5:F104</xm:sqref>
        </x14:dataValidation>
        <x14:dataValidation type="list" allowBlank="1" xr:uid="{00000000-0002-0000-0300-000003000000}">
          <x14:formula1>
            <xm:f>Listas!$F$2:$F$5</xm:f>
          </x14:formula1>
          <x14:formula2>
            <xm:f>0</xm:f>
          </x14:formula2>
          <xm:sqref>M5:M104</xm:sqref>
        </x14:dataValidation>
        <x14:dataValidation type="list" allowBlank="1" showErrorMessage="1" errorTitle="Requisito inexistente" error="Usa un ID que exista en la hoja Requisitos." xr:uid="{00000000-0002-0000-0300-000004000000}">
          <x14:formula1>
            <xm:f>Requisitos!$A$5:$A$60</xm:f>
          </x14:formula1>
          <x14:formula2>
            <xm:f>0</xm:f>
          </x14:formula2>
          <xm:sqref>B5:B104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40" customWidth="1"/>
    <col min="3" max="3" width="18" customWidth="1"/>
    <col min="4" max="5" width="16" customWidth="1"/>
    <col min="6" max="7" width="12" customWidth="1"/>
    <col min="8" max="9" width="14" customWidth="1"/>
  </cols>
  <sheetData>
    <row r="1" spans="1:9" ht="18" x14ac:dyDescent="0.2">
      <c r="A1" s="1" t="s">
        <v>248</v>
      </c>
    </row>
    <row r="2" spans="1:9" x14ac:dyDescent="0.2">
      <c r="A2" s="2" t="s">
        <v>249</v>
      </c>
    </row>
    <row r="4" spans="1:9" ht="31.5" customHeight="1" x14ac:dyDescent="0.2">
      <c r="A4" s="5" t="s">
        <v>110</v>
      </c>
      <c r="B4" s="5" t="s">
        <v>250</v>
      </c>
      <c r="C4" s="5" t="s">
        <v>251</v>
      </c>
      <c r="D4" s="5" t="s">
        <v>252</v>
      </c>
      <c r="E4" s="5" t="s">
        <v>253</v>
      </c>
      <c r="F4" s="5" t="s">
        <v>118</v>
      </c>
      <c r="G4" s="5" t="s">
        <v>254</v>
      </c>
      <c r="H4" s="5" t="s">
        <v>120</v>
      </c>
      <c r="I4" s="5" t="s">
        <v>121</v>
      </c>
    </row>
    <row r="5" spans="1:9" x14ac:dyDescent="0.2">
      <c r="A5" s="16" t="s">
        <v>124</v>
      </c>
      <c r="B5" s="6" t="s">
        <v>255</v>
      </c>
      <c r="C5" s="18">
        <f>Calculo_Referencia!C8</f>
        <v>126.66666666666667</v>
      </c>
      <c r="D5" s="11">
        <v>126.67</v>
      </c>
      <c r="E5" s="12">
        <f t="shared" ref="E5:E24" si="0">IF(OR(C5="",D5=""),"",ABS(D5-C5))</f>
        <v>3.3333333333303017E-3</v>
      </c>
      <c r="F5" s="9">
        <v>0.01</v>
      </c>
      <c r="G5" s="16" t="s">
        <v>256</v>
      </c>
      <c r="H5" s="17" t="str">
        <f t="shared" ref="H5:H24" si="1">IF(C5="","",IF(D5="","PENDIENTE",IF(ABS(D5-C5)&lt;=F5,"APROBADO","FALLIDO")))</f>
        <v>APROBADO</v>
      </c>
      <c r="I5" s="16"/>
    </row>
    <row r="6" spans="1:9" x14ac:dyDescent="0.2">
      <c r="A6" s="16" t="s">
        <v>131</v>
      </c>
      <c r="B6" s="6" t="s">
        <v>257</v>
      </c>
      <c r="C6" s="18">
        <f>Calculo_Referencia!C9</f>
        <v>133.66666666666666</v>
      </c>
      <c r="D6" s="11">
        <v>133.66999999999999</v>
      </c>
      <c r="E6" s="12">
        <f t="shared" si="0"/>
        <v>3.3333333333303017E-3</v>
      </c>
      <c r="F6" s="9">
        <v>0.01</v>
      </c>
      <c r="G6" s="16" t="s">
        <v>256</v>
      </c>
      <c r="H6" s="17" t="str">
        <f t="shared" si="1"/>
        <v>APROBADO</v>
      </c>
      <c r="I6" s="16"/>
    </row>
    <row r="7" spans="1:9" x14ac:dyDescent="0.2">
      <c r="A7" s="16" t="s">
        <v>134</v>
      </c>
      <c r="B7" s="6" t="s">
        <v>258</v>
      </c>
      <c r="C7" s="18">
        <f>Calculo_Referencia!C10</f>
        <v>135.66666666666666</v>
      </c>
      <c r="D7" s="11">
        <v>135.66999999999999</v>
      </c>
      <c r="E7" s="12">
        <f t="shared" si="0"/>
        <v>3.3333333333303017E-3</v>
      </c>
      <c r="F7" s="9">
        <v>0.01</v>
      </c>
      <c r="G7" s="16" t="s">
        <v>256</v>
      </c>
      <c r="H7" s="17" t="str">
        <f t="shared" si="1"/>
        <v>APROBADO</v>
      </c>
      <c r="I7" s="16"/>
    </row>
    <row r="8" spans="1:9" x14ac:dyDescent="0.2">
      <c r="A8" s="16" t="s">
        <v>136</v>
      </c>
      <c r="B8" s="6" t="s">
        <v>95</v>
      </c>
      <c r="C8" s="18">
        <f>Calculo_Referencia!R10</f>
        <v>11.000000000000005</v>
      </c>
      <c r="D8" s="11">
        <v>11</v>
      </c>
      <c r="E8" s="12">
        <f t="shared" si="0"/>
        <v>5.3290705182007514E-15</v>
      </c>
      <c r="F8" s="9">
        <v>0.01</v>
      </c>
      <c r="G8" s="16" t="s">
        <v>256</v>
      </c>
      <c r="H8" s="17" t="str">
        <f t="shared" si="1"/>
        <v>APROBADO</v>
      </c>
      <c r="I8" s="16"/>
    </row>
    <row r="9" spans="1:9" x14ac:dyDescent="0.2">
      <c r="A9" s="16" t="s">
        <v>139</v>
      </c>
      <c r="B9" s="6" t="s">
        <v>96</v>
      </c>
      <c r="C9" s="18">
        <f>Calculo_Referencia!R11</f>
        <v>143.22222222222229</v>
      </c>
      <c r="D9" s="11">
        <v>143.22</v>
      </c>
      <c r="E9" s="12">
        <f t="shared" si="0"/>
        <v>2.2222222222865184E-3</v>
      </c>
      <c r="F9" s="9">
        <v>0.01</v>
      </c>
      <c r="G9" s="16" t="s">
        <v>259</v>
      </c>
      <c r="H9" s="17" t="str">
        <f t="shared" si="1"/>
        <v>APROBADO</v>
      </c>
      <c r="I9" s="16"/>
    </row>
    <row r="10" spans="1:9" x14ac:dyDescent="0.2">
      <c r="A10" s="16" t="s">
        <v>142</v>
      </c>
      <c r="B10" s="6" t="s">
        <v>260</v>
      </c>
      <c r="C10" s="18">
        <f>Calculo_Referencia!R12</f>
        <v>7.6203789358275973</v>
      </c>
      <c r="D10" s="11">
        <v>8.3699999999999992</v>
      </c>
      <c r="E10" s="12">
        <f t="shared" si="0"/>
        <v>0.74962106417240193</v>
      </c>
      <c r="F10" s="9">
        <v>0.01</v>
      </c>
      <c r="G10" s="16" t="s">
        <v>261</v>
      </c>
      <c r="H10" s="17" t="str">
        <f t="shared" si="1"/>
        <v>FALLIDO</v>
      </c>
      <c r="I10" s="16" t="s">
        <v>145</v>
      </c>
    </row>
    <row r="11" spans="1:9" x14ac:dyDescent="0.2">
      <c r="A11" s="16" t="s">
        <v>146</v>
      </c>
      <c r="B11" s="6" t="s">
        <v>262</v>
      </c>
      <c r="C11" s="18">
        <f>Calculo_Referencia!R14</f>
        <v>137.55456000000001</v>
      </c>
      <c r="D11" s="11">
        <v>137.55000000000001</v>
      </c>
      <c r="E11" s="12">
        <f t="shared" si="0"/>
        <v>4.5599999999978991E-3</v>
      </c>
      <c r="F11" s="9">
        <v>0.01</v>
      </c>
      <c r="G11" s="16" t="s">
        <v>256</v>
      </c>
      <c r="H11" s="17" t="str">
        <f t="shared" si="1"/>
        <v>APROBADO</v>
      </c>
      <c r="I11" s="16"/>
    </row>
    <row r="12" spans="1:9" x14ac:dyDescent="0.2">
      <c r="A12" s="16" t="s">
        <v>151</v>
      </c>
      <c r="B12" s="6" t="s">
        <v>263</v>
      </c>
      <c r="C12" s="18">
        <f>Calculo_Referencia!R20</f>
        <v>152.93333333333334</v>
      </c>
      <c r="D12" s="11">
        <v>152.93</v>
      </c>
      <c r="E12" s="12">
        <f t="shared" si="0"/>
        <v>3.3333333333303017E-3</v>
      </c>
      <c r="F12" s="9">
        <v>0.01</v>
      </c>
      <c r="G12" s="16" t="s">
        <v>256</v>
      </c>
      <c r="H12" s="17" t="str">
        <f t="shared" si="1"/>
        <v>APROBADO</v>
      </c>
      <c r="I12" s="16"/>
    </row>
    <row r="13" spans="1:9" x14ac:dyDescent="0.2">
      <c r="A13" s="16"/>
      <c r="B13" s="16"/>
      <c r="C13" s="16"/>
      <c r="D13" s="19"/>
      <c r="E13" s="12" t="str">
        <f t="shared" si="0"/>
        <v/>
      </c>
      <c r="F13" s="16"/>
      <c r="G13" s="16"/>
      <c r="H13" s="17" t="str">
        <f t="shared" si="1"/>
        <v/>
      </c>
      <c r="I13" s="16"/>
    </row>
    <row r="14" spans="1:9" x14ac:dyDescent="0.2">
      <c r="A14" s="16"/>
      <c r="B14" s="16"/>
      <c r="C14" s="16"/>
      <c r="D14" s="19"/>
      <c r="E14" s="12" t="str">
        <f t="shared" si="0"/>
        <v/>
      </c>
      <c r="F14" s="16"/>
      <c r="G14" s="16"/>
      <c r="H14" s="17" t="str">
        <f t="shared" si="1"/>
        <v/>
      </c>
      <c r="I14" s="16"/>
    </row>
    <row r="15" spans="1:9" x14ac:dyDescent="0.2">
      <c r="A15" s="16"/>
      <c r="B15" s="16"/>
      <c r="C15" s="16"/>
      <c r="D15" s="19"/>
      <c r="E15" s="12" t="str">
        <f t="shared" si="0"/>
        <v/>
      </c>
      <c r="F15" s="16"/>
      <c r="G15" s="16"/>
      <c r="H15" s="17" t="str">
        <f t="shared" si="1"/>
        <v/>
      </c>
      <c r="I15" s="16"/>
    </row>
    <row r="16" spans="1:9" x14ac:dyDescent="0.2">
      <c r="A16" s="16"/>
      <c r="B16" s="16"/>
      <c r="C16" s="16"/>
      <c r="D16" s="19"/>
      <c r="E16" s="12" t="str">
        <f t="shared" si="0"/>
        <v/>
      </c>
      <c r="F16" s="16"/>
      <c r="G16" s="16"/>
      <c r="H16" s="17" t="str">
        <f t="shared" si="1"/>
        <v/>
      </c>
      <c r="I16" s="16"/>
    </row>
    <row r="17" spans="1:9" x14ac:dyDescent="0.2">
      <c r="A17" s="16"/>
      <c r="B17" s="16"/>
      <c r="C17" s="16"/>
      <c r="D17" s="19"/>
      <c r="E17" s="12" t="str">
        <f t="shared" si="0"/>
        <v/>
      </c>
      <c r="F17" s="16"/>
      <c r="G17" s="16"/>
      <c r="H17" s="17" t="str">
        <f t="shared" si="1"/>
        <v/>
      </c>
      <c r="I17" s="16"/>
    </row>
    <row r="18" spans="1:9" x14ac:dyDescent="0.2">
      <c r="A18" s="16"/>
      <c r="B18" s="16"/>
      <c r="C18" s="16"/>
      <c r="D18" s="19"/>
      <c r="E18" s="12" t="str">
        <f t="shared" si="0"/>
        <v/>
      </c>
      <c r="F18" s="16"/>
      <c r="G18" s="16"/>
      <c r="H18" s="17" t="str">
        <f t="shared" si="1"/>
        <v/>
      </c>
      <c r="I18" s="16"/>
    </row>
    <row r="19" spans="1:9" x14ac:dyDescent="0.2">
      <c r="A19" s="16"/>
      <c r="B19" s="16"/>
      <c r="C19" s="16"/>
      <c r="D19" s="19"/>
      <c r="E19" s="12" t="str">
        <f t="shared" si="0"/>
        <v/>
      </c>
      <c r="F19" s="16"/>
      <c r="G19" s="16"/>
      <c r="H19" s="17" t="str">
        <f t="shared" si="1"/>
        <v/>
      </c>
      <c r="I19" s="16"/>
    </row>
    <row r="20" spans="1:9" x14ac:dyDescent="0.2">
      <c r="A20" s="16"/>
      <c r="B20" s="16"/>
      <c r="C20" s="16"/>
      <c r="D20" s="19"/>
      <c r="E20" s="12" t="str">
        <f t="shared" si="0"/>
        <v/>
      </c>
      <c r="F20" s="16"/>
      <c r="G20" s="16"/>
      <c r="H20" s="17" t="str">
        <f t="shared" si="1"/>
        <v/>
      </c>
      <c r="I20" s="16"/>
    </row>
    <row r="21" spans="1:9" x14ac:dyDescent="0.2">
      <c r="A21" s="16"/>
      <c r="B21" s="16"/>
      <c r="C21" s="16"/>
      <c r="D21" s="19"/>
      <c r="E21" s="12" t="str">
        <f t="shared" si="0"/>
        <v/>
      </c>
      <c r="F21" s="16"/>
      <c r="G21" s="16"/>
      <c r="H21" s="17" t="str">
        <f t="shared" si="1"/>
        <v/>
      </c>
      <c r="I21" s="16"/>
    </row>
    <row r="22" spans="1:9" x14ac:dyDescent="0.2">
      <c r="A22" s="16"/>
      <c r="B22" s="16"/>
      <c r="C22" s="16"/>
      <c r="D22" s="19"/>
      <c r="E22" s="12" t="str">
        <f t="shared" si="0"/>
        <v/>
      </c>
      <c r="F22" s="16"/>
      <c r="G22" s="16"/>
      <c r="H22" s="17" t="str">
        <f t="shared" si="1"/>
        <v/>
      </c>
      <c r="I22" s="16"/>
    </row>
    <row r="23" spans="1:9" x14ac:dyDescent="0.2">
      <c r="A23" s="16"/>
      <c r="B23" s="16"/>
      <c r="C23" s="16"/>
      <c r="D23" s="19"/>
      <c r="E23" s="12" t="str">
        <f t="shared" si="0"/>
        <v/>
      </c>
      <c r="F23" s="16"/>
      <c r="G23" s="16"/>
      <c r="H23" s="17" t="str">
        <f t="shared" si="1"/>
        <v/>
      </c>
      <c r="I23" s="16"/>
    </row>
    <row r="24" spans="1:9" x14ac:dyDescent="0.2">
      <c r="A24" s="16"/>
      <c r="B24" s="16"/>
      <c r="C24" s="16"/>
      <c r="D24" s="19"/>
      <c r="E24" s="12" t="str">
        <f t="shared" si="0"/>
        <v/>
      </c>
      <c r="F24" s="16"/>
      <c r="G24" s="16"/>
      <c r="H24" s="17" t="str">
        <f t="shared" si="1"/>
        <v/>
      </c>
      <c r="I24" s="16"/>
    </row>
    <row r="26" spans="1:9" x14ac:dyDescent="0.2">
      <c r="A26" s="2" t="s">
        <v>264</v>
      </c>
    </row>
    <row r="27" spans="1:9" x14ac:dyDescent="0.2">
      <c r="A27" s="2" t="s">
        <v>265</v>
      </c>
    </row>
  </sheetData>
  <conditionalFormatting sqref="H5:H24">
    <cfRule type="cellIs" dxfId="12" priority="2" operator="equal">
      <formula>"APROBADO"</formula>
    </cfRule>
    <cfRule type="cellIs" dxfId="11" priority="3" operator="equal">
      <formula>"FALLIDO"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2" customWidth="1"/>
    <col min="2" max="2" width="52" customWidth="1"/>
    <col min="3" max="3" width="22" customWidth="1"/>
    <col min="4" max="4" width="14" customWidth="1"/>
    <col min="5" max="5" width="11" customWidth="1"/>
    <col min="6" max="6" width="26" customWidth="1"/>
    <col min="7" max="7" width="11" customWidth="1"/>
    <col min="8" max="8" width="18" customWidth="1"/>
    <col min="9" max="9" width="26" customWidth="1"/>
    <col min="10" max="10" width="14" customWidth="1"/>
    <col min="11" max="11" width="16" customWidth="1"/>
  </cols>
  <sheetData>
    <row r="1" spans="1:11" ht="18" x14ac:dyDescent="0.2">
      <c r="A1" s="1" t="s">
        <v>266</v>
      </c>
    </row>
    <row r="2" spans="1:11" x14ac:dyDescent="0.2">
      <c r="A2" s="2" t="s">
        <v>267</v>
      </c>
    </row>
    <row r="4" spans="1:11" ht="31.5" customHeight="1" x14ac:dyDescent="0.2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268</v>
      </c>
      <c r="G4" s="5" t="s">
        <v>269</v>
      </c>
      <c r="H4" s="5" t="s">
        <v>270</v>
      </c>
      <c r="I4" s="5" t="s">
        <v>271</v>
      </c>
      <c r="J4" s="5" t="s">
        <v>272</v>
      </c>
      <c r="K4" s="5" t="s">
        <v>273</v>
      </c>
    </row>
    <row r="5" spans="1:11" ht="28" x14ac:dyDescent="0.2">
      <c r="A5" s="17" t="str">
        <f>IF(Requisitos!A5="","",Requisitos!A5)</f>
        <v>RF-01</v>
      </c>
      <c r="B5" s="10" t="str">
        <f>IF($A5="","",Requisitos!B5)</f>
        <v>Registrar, consultar, actualizar y eliminar series de producción y demanda por producto, línea y período</v>
      </c>
      <c r="C5" s="8" t="str">
        <f>IF($A5="","",Requisitos!C5)</f>
        <v>Gestión de datos</v>
      </c>
      <c r="D5" s="8" t="str">
        <f>IF($A5="","",Requisitos!D5)</f>
        <v>Funcional</v>
      </c>
      <c r="E5" s="8" t="str">
        <f>IF($A5="","",Requisitos!E5)</f>
        <v>Alta</v>
      </c>
      <c r="F5" s="6" t="s">
        <v>225</v>
      </c>
      <c r="G5" s="17">
        <f>IF($A5="","",COUNTIF(Catalogo!$B$5:$B$104,$A5))</f>
        <v>1</v>
      </c>
      <c r="H5" s="17" t="str">
        <f t="shared" ref="H5:H36" si="0">IF($A5="","",IF(G5=0,"SIN COBERTURA","Cubierto"))</f>
        <v>Cubierto</v>
      </c>
      <c r="I5" s="6" t="s">
        <v>274</v>
      </c>
      <c r="J5" s="17" t="str">
        <f>IF($A5="","",IF(G5=0,"Sin casos",IF(COUNTIFS(Catalogo!$B$5:$B$104,$A5,Catalogo!$M$5:$M$104,"FALLIDO")&gt;0,"Fallido",IF(COUNTIFS(Catalogo!$B$5:$B$104,$A5,Catalogo!$M$5:$M$104,"APROBADO")=G5,"Aprobado","Pendiente"))))</f>
        <v>Pendiente</v>
      </c>
      <c r="K5" s="16"/>
    </row>
    <row r="6" spans="1:11" ht="28" x14ac:dyDescent="0.2">
      <c r="A6" s="17" t="str">
        <f>IF(Requisitos!A6="","",Requisitos!A6)</f>
        <v>RF-02</v>
      </c>
      <c r="B6" s="10" t="str">
        <f>IF($A6="","",Requisitos!B6)</f>
        <v>Cargar series de tiempo desde archivo CSV validando el formato</v>
      </c>
      <c r="C6" s="8" t="str">
        <f>IF($A6="","",Requisitos!C6)</f>
        <v>Gestión de datos</v>
      </c>
      <c r="D6" s="8" t="str">
        <f>IF($A6="","",Requisitos!D6)</f>
        <v>Funcional</v>
      </c>
      <c r="E6" s="8" t="str">
        <f>IF($A6="","",Requisitos!E6)</f>
        <v>Alta</v>
      </c>
      <c r="F6" s="6" t="s">
        <v>275</v>
      </c>
      <c r="G6" s="17">
        <f>IF($A6="","",COUNTIF(Catalogo!$B$5:$B$104,$A6))</f>
        <v>2</v>
      </c>
      <c r="H6" s="17" t="str">
        <f t="shared" si="0"/>
        <v>Cubierto</v>
      </c>
      <c r="I6" s="6" t="s">
        <v>274</v>
      </c>
      <c r="J6" s="17" t="str">
        <f>IF($A6="","",IF(G6=0,"Sin casos",IF(COUNTIFS(Catalogo!$B$5:$B$104,$A6,Catalogo!$M$5:$M$104,"FALLIDO")&gt;0,"Fallido",IF(COUNTIFS(Catalogo!$B$5:$B$104,$A6,Catalogo!$M$5:$M$104,"APROBADO")=G6,"Aprobado","Pendiente"))))</f>
        <v>Pendiente</v>
      </c>
      <c r="K6" s="16"/>
    </row>
    <row r="7" spans="1:11" x14ac:dyDescent="0.2">
      <c r="A7" s="17" t="str">
        <f>IF(Requisitos!A7="","",Requisitos!A7)</f>
        <v>RF-03</v>
      </c>
      <c r="B7" s="10" t="str">
        <f>IF($A7="","",Requisitos!B7)</f>
        <v>Detectar y marcar datos atípicos y faltantes en la serie</v>
      </c>
      <c r="C7" s="8" t="str">
        <f>IF($A7="","",Requisitos!C7)</f>
        <v>Gestión de datos</v>
      </c>
      <c r="D7" s="8" t="str">
        <f>IF($A7="","",Requisitos!D7)</f>
        <v>Funcional</v>
      </c>
      <c r="E7" s="8" t="str">
        <f>IF($A7="","",Requisitos!E7)</f>
        <v>Media</v>
      </c>
      <c r="F7" s="6" t="s">
        <v>221</v>
      </c>
      <c r="G7" s="17">
        <f>IF($A7="","",COUNTIF(Catalogo!$B$5:$B$104,$A7))</f>
        <v>1</v>
      </c>
      <c r="H7" s="17" t="str">
        <f t="shared" si="0"/>
        <v>Cubierto</v>
      </c>
      <c r="I7" s="6" t="s">
        <v>276</v>
      </c>
      <c r="J7" s="17" t="str">
        <f>IF($A7="","",IF(G7=0,"Sin casos",IF(COUNTIFS(Catalogo!$B$5:$B$104,$A7,Catalogo!$M$5:$M$104,"FALLIDO")&gt;0,"Fallido",IF(COUNTIFS(Catalogo!$B$5:$B$104,$A7,Catalogo!$M$5:$M$104,"APROBADO")=G7,"Aprobado","Pendiente"))))</f>
        <v>Pendiente</v>
      </c>
      <c r="K7" s="16"/>
    </row>
    <row r="8" spans="1:11" x14ac:dyDescent="0.2">
      <c r="A8" s="17" t="str">
        <f>IF(Requisitos!A8="","",Requisitos!A8)</f>
        <v>RF-04</v>
      </c>
      <c r="B8" s="10" t="str">
        <f>IF($A8="","",Requisitos!B8)</f>
        <v>Registrar la capacidad disponible por centro de trabajo</v>
      </c>
      <c r="C8" s="8" t="str">
        <f>IF($A8="","",Requisitos!C8)</f>
        <v>Gestión de datos</v>
      </c>
      <c r="D8" s="8" t="str">
        <f>IF($A8="","",Requisitos!D8)</f>
        <v>Funcional</v>
      </c>
      <c r="E8" s="8" t="str">
        <f>IF($A8="","",Requisitos!E8)</f>
        <v>Media</v>
      </c>
      <c r="F8" s="6"/>
      <c r="G8" s="17">
        <f>IF($A8="","",COUNTIF(Catalogo!$B$5:$B$104,$A8))</f>
        <v>0</v>
      </c>
      <c r="H8" s="17" t="str">
        <f t="shared" si="0"/>
        <v>SIN COBERTURA</v>
      </c>
      <c r="I8" s="6"/>
      <c r="J8" s="17" t="str">
        <f>IF($A8="","",IF(G8=0,"Sin casos",IF(COUNTIFS(Catalogo!$B$5:$B$104,$A8,Catalogo!$M$5:$M$104,"FALLIDO")&gt;0,"Fallido",IF(COUNTIFS(Catalogo!$B$5:$B$104,$A8,Catalogo!$M$5:$M$104,"APROBADO")=G8,"Aprobado","Pendiente"))))</f>
        <v>Sin casos</v>
      </c>
      <c r="K8" s="16"/>
    </row>
    <row r="9" spans="1:11" ht="28" x14ac:dyDescent="0.2">
      <c r="A9" s="17" t="str">
        <f>IF(Requisitos!A9="","",Requisitos!A9)</f>
        <v>RF-05</v>
      </c>
      <c r="B9" s="10" t="str">
        <f>IF($A9="","",Requisitos!B9)</f>
        <v>Calcular el pronóstico por promedio móvil con ventana configurable</v>
      </c>
      <c r="C9" s="8" t="str">
        <f>IF($A9="","",Requisitos!C9)</f>
        <v>Pronóstico</v>
      </c>
      <c r="D9" s="8" t="str">
        <f>IF($A9="","",Requisitos!D9)</f>
        <v>Funcional</v>
      </c>
      <c r="E9" s="8" t="str">
        <f>IF($A9="","",Requisitos!E9)</f>
        <v>Alta</v>
      </c>
      <c r="F9" s="6" t="s">
        <v>277</v>
      </c>
      <c r="G9" s="17">
        <f>IF($A9="","",COUNTIF(Catalogo!$B$5:$B$104,$A9))</f>
        <v>5</v>
      </c>
      <c r="H9" s="17" t="str">
        <f t="shared" si="0"/>
        <v>Cubierto</v>
      </c>
      <c r="I9" s="6" t="s">
        <v>278</v>
      </c>
      <c r="J9" s="17" t="str">
        <f>IF($A9="","",IF(G9=0,"Sin casos",IF(COUNTIFS(Catalogo!$B$5:$B$104,$A9,Catalogo!$M$5:$M$104,"FALLIDO")&gt;0,"Fallido",IF(COUNTIFS(Catalogo!$B$5:$B$104,$A9,Catalogo!$M$5:$M$104,"APROBADO")=G9,"Aprobado","Pendiente"))))</f>
        <v>Pendiente</v>
      </c>
      <c r="K9" s="16"/>
    </row>
    <row r="10" spans="1:11" ht="28" x14ac:dyDescent="0.2">
      <c r="A10" s="17" t="str">
        <f>IF(Requisitos!A10="","",Requisitos!A10)</f>
        <v>RF-06</v>
      </c>
      <c r="B10" s="10" t="str">
        <f>IF($A10="","",Requisitos!B10)</f>
        <v>Calcular el pronóstico por suavización exponencial simple con α configurable</v>
      </c>
      <c r="C10" s="8" t="str">
        <f>IF($A10="","",Requisitos!C10)</f>
        <v>Pronóstico</v>
      </c>
      <c r="D10" s="8" t="str">
        <f>IF($A10="","",Requisitos!D10)</f>
        <v>Funcional</v>
      </c>
      <c r="E10" s="8" t="str">
        <f>IF($A10="","",Requisitos!E10)</f>
        <v>Alta</v>
      </c>
      <c r="F10" s="6" t="s">
        <v>279</v>
      </c>
      <c r="G10" s="17">
        <f>IF($A10="","",COUNTIF(Catalogo!$B$5:$B$104,$A10))</f>
        <v>2</v>
      </c>
      <c r="H10" s="17" t="str">
        <f t="shared" si="0"/>
        <v>Cubierto</v>
      </c>
      <c r="I10" s="6" t="s">
        <v>278</v>
      </c>
      <c r="J10" s="17" t="str">
        <f>IF($A10="","",IF(G10=0,"Sin casos",IF(COUNTIFS(Catalogo!$B$5:$B$104,$A10,Catalogo!$M$5:$M$104,"FALLIDO")&gt;0,"Fallido",IF(COUNTIFS(Catalogo!$B$5:$B$104,$A10,Catalogo!$M$5:$M$104,"APROBADO")=G10,"Aprobado","Pendiente"))))</f>
        <v>Pendiente</v>
      </c>
      <c r="K10" s="16"/>
    </row>
    <row r="11" spans="1:11" ht="28" x14ac:dyDescent="0.2">
      <c r="A11" s="17" t="str">
        <f>IF(Requisitos!A11="","",Requisitos!A11)</f>
        <v>RF-07</v>
      </c>
      <c r="B11" s="10" t="str">
        <f>IF($A11="","",Requisitos!B11)</f>
        <v>Calcular el pronóstico por suavización exponencial con tendencia (método de Holt)</v>
      </c>
      <c r="C11" s="8" t="str">
        <f>IF($A11="","",Requisitos!C11)</f>
        <v>Pronóstico</v>
      </c>
      <c r="D11" s="8" t="str">
        <f>IF($A11="","",Requisitos!D11)</f>
        <v>Funcional</v>
      </c>
      <c r="E11" s="8" t="str">
        <f>IF($A11="","",Requisitos!E11)</f>
        <v>Media</v>
      </c>
      <c r="F11" s="6" t="s">
        <v>172</v>
      </c>
      <c r="G11" s="17">
        <f>IF($A11="","",COUNTIF(Catalogo!$B$5:$B$104,$A11))</f>
        <v>1</v>
      </c>
      <c r="H11" s="17" t="str">
        <f t="shared" si="0"/>
        <v>Cubierto</v>
      </c>
      <c r="I11" s="6" t="s">
        <v>278</v>
      </c>
      <c r="J11" s="17" t="str">
        <f>IF($A11="","",IF(G11=0,"Sin casos",IF(COUNTIFS(Catalogo!$B$5:$B$104,$A11,Catalogo!$M$5:$M$104,"FALLIDO")&gt;0,"Fallido",IF(COUNTIFS(Catalogo!$B$5:$B$104,$A11,Catalogo!$M$5:$M$104,"APROBADO")=G11,"Aprobado","Pendiente"))))</f>
        <v>Pendiente</v>
      </c>
      <c r="K11" s="16"/>
    </row>
    <row r="12" spans="1:11" x14ac:dyDescent="0.2">
      <c r="A12" s="17" t="str">
        <f>IF(Requisitos!A12="","",Requisitos!A12)</f>
        <v>RF-08</v>
      </c>
      <c r="B12" s="10" t="str">
        <f>IF($A12="","",Requisitos!B12)</f>
        <v>Calcular el pronóstico por regresión lineal</v>
      </c>
      <c r="C12" s="8" t="str">
        <f>IF($A12="","",Requisitos!C12)</f>
        <v>Pronóstico</v>
      </c>
      <c r="D12" s="8" t="str">
        <f>IF($A12="","",Requisitos!D12)</f>
        <v>Funcional</v>
      </c>
      <c r="E12" s="8" t="str">
        <f>IF($A12="","",Requisitos!E12)</f>
        <v>Alta</v>
      </c>
      <c r="F12" s="6" t="s">
        <v>151</v>
      </c>
      <c r="G12" s="17">
        <f>IF($A12="","",COUNTIF(Catalogo!$B$5:$B$104,$A12))</f>
        <v>1</v>
      </c>
      <c r="H12" s="17" t="str">
        <f t="shared" si="0"/>
        <v>Cubierto</v>
      </c>
      <c r="I12" s="6" t="s">
        <v>278</v>
      </c>
      <c r="J12" s="17" t="str">
        <f>IF($A12="","",IF(G12=0,"Sin casos",IF(COUNTIFS(Catalogo!$B$5:$B$104,$A12,Catalogo!$M$5:$M$104,"FALLIDO")&gt;0,"Fallido",IF(COUNTIFS(Catalogo!$B$5:$B$104,$A12,Catalogo!$M$5:$M$104,"APROBADO")=G12,"Aprobado","Pendiente"))))</f>
        <v>Aprobado</v>
      </c>
      <c r="K12" s="16"/>
    </row>
    <row r="13" spans="1:11" ht="28" x14ac:dyDescent="0.2">
      <c r="A13" s="17" t="str">
        <f>IF(Requisitos!A13="","",Requisitos!A13)</f>
        <v>RF-09</v>
      </c>
      <c r="B13" s="10" t="str">
        <f>IF($A13="","",Requisitos!B13)</f>
        <v>Calcular MAD, MSE y MAPE por método y por producto</v>
      </c>
      <c r="C13" s="8" t="str">
        <f>IF($A13="","",Requisitos!C13)</f>
        <v>Pronóstico</v>
      </c>
      <c r="D13" s="8" t="str">
        <f>IF($A13="","",Requisitos!D13)</f>
        <v>Funcional</v>
      </c>
      <c r="E13" s="8" t="str">
        <f>IF($A13="","",Requisitos!E13)</f>
        <v>Alta</v>
      </c>
      <c r="F13" s="6" t="s">
        <v>280</v>
      </c>
      <c r="G13" s="17">
        <f>IF($A13="","",COUNTIF(Catalogo!$B$5:$B$104,$A13))</f>
        <v>4</v>
      </c>
      <c r="H13" s="17" t="str">
        <f t="shared" si="0"/>
        <v>Cubierto</v>
      </c>
      <c r="I13" s="6" t="s">
        <v>278</v>
      </c>
      <c r="J13" s="17" t="str">
        <f>IF($A13="","",IF(G13=0,"Sin casos",IF(COUNTIFS(Catalogo!$B$5:$B$104,$A13,Catalogo!$M$5:$M$104,"FALLIDO")&gt;0,"Fallido",IF(COUNTIFS(Catalogo!$B$5:$B$104,$A13,Catalogo!$M$5:$M$104,"APROBADO")=G13,"Aprobado","Pendiente"))))</f>
        <v>Fallido</v>
      </c>
      <c r="K13" s="16" t="s">
        <v>145</v>
      </c>
    </row>
    <row r="14" spans="1:11" ht="28" x14ac:dyDescent="0.2">
      <c r="A14" s="17" t="str">
        <f>IF(Requisitos!A14="","",Requisitos!A14)</f>
        <v>RF-10</v>
      </c>
      <c r="B14" s="10" t="str">
        <f>IF($A14="","",Requisitos!B14)</f>
        <v>Generar alerta cuando el error del pronóstico supere un umbral configurable</v>
      </c>
      <c r="C14" s="8" t="str">
        <f>IF($A14="","",Requisitos!C14)</f>
        <v>Indicadores y reportes</v>
      </c>
      <c r="D14" s="8" t="str">
        <f>IF($A14="","",Requisitos!D14)</f>
        <v>Funcional</v>
      </c>
      <c r="E14" s="8" t="str">
        <f>IF($A14="","",Requisitos!E14)</f>
        <v>Alta</v>
      </c>
      <c r="F14" s="6" t="s">
        <v>281</v>
      </c>
      <c r="G14" s="17">
        <f>IF($A14="","",COUNTIF(Catalogo!$B$5:$B$104,$A14))</f>
        <v>2</v>
      </c>
      <c r="H14" s="17" t="str">
        <f t="shared" si="0"/>
        <v>Cubierto</v>
      </c>
      <c r="I14" s="6" t="s">
        <v>278</v>
      </c>
      <c r="J14" s="17" t="str">
        <f>IF($A14="","",IF(G14=0,"Sin casos",IF(COUNTIFS(Catalogo!$B$5:$B$104,$A14,Catalogo!$M$5:$M$104,"FALLIDO")&gt;0,"Fallido",IF(COUNTIFS(Catalogo!$B$5:$B$104,$A14,Catalogo!$M$5:$M$104,"APROBADO")=G14,"Aprobado","Pendiente"))))</f>
        <v>Pendiente</v>
      </c>
      <c r="K14" s="16"/>
    </row>
    <row r="15" spans="1:11" ht="28" x14ac:dyDescent="0.2">
      <c r="A15" s="17" t="str">
        <f>IF(Requisitos!A15="","",Requisitos!A15)</f>
        <v>RF-11</v>
      </c>
      <c r="B15" s="10" t="str">
        <f>IF($A15="","",Requisitos!B15)</f>
        <v>Mostrar en el dashboard la comparación pronóstico vs. real con sesgo acumulado</v>
      </c>
      <c r="C15" s="8" t="str">
        <f>IF($A15="","",Requisitos!C15)</f>
        <v>Indicadores y reportes</v>
      </c>
      <c r="D15" s="8" t="str">
        <f>IF($A15="","",Requisitos!D15)</f>
        <v>Funcional</v>
      </c>
      <c r="E15" s="8" t="str">
        <f>IF($A15="","",Requisitos!E15)</f>
        <v>Media</v>
      </c>
      <c r="F15" s="6" t="s">
        <v>229</v>
      </c>
      <c r="G15" s="17">
        <f>IF($A15="","",COUNTIF(Catalogo!$B$5:$B$104,$A15))</f>
        <v>1</v>
      </c>
      <c r="H15" s="17" t="str">
        <f t="shared" si="0"/>
        <v>Cubierto</v>
      </c>
      <c r="I15" s="6" t="s">
        <v>282</v>
      </c>
      <c r="J15" s="17" t="str">
        <f>IF($A15="","",IF(G15=0,"Sin casos",IF(COUNTIFS(Catalogo!$B$5:$B$104,$A15,Catalogo!$M$5:$M$104,"FALLIDO")&gt;0,"Fallido",IF(COUNTIFS(Catalogo!$B$5:$B$104,$A15,Catalogo!$M$5:$M$104,"APROBADO")=G15,"Aprobado","Pendiente"))))</f>
        <v>Pendiente</v>
      </c>
      <c r="K15" s="16"/>
    </row>
    <row r="16" spans="1:11" x14ac:dyDescent="0.2">
      <c r="A16" s="17" t="str">
        <f>IF(Requisitos!A16="","",Requisitos!A16)</f>
        <v>RF-12</v>
      </c>
      <c r="B16" s="10" t="str">
        <f>IF($A16="","",Requisitos!B16)</f>
        <v>Exportar reportes de predicciones e indicadores en PDF y Excel</v>
      </c>
      <c r="C16" s="8" t="str">
        <f>IF($A16="","",Requisitos!C16)</f>
        <v>Indicadores y reportes</v>
      </c>
      <c r="D16" s="8" t="str">
        <f>IF($A16="","",Requisitos!D16)</f>
        <v>Funcional</v>
      </c>
      <c r="E16" s="8" t="str">
        <f>IF($A16="","",Requisitos!E16)</f>
        <v>Media</v>
      </c>
      <c r="F16" s="6" t="s">
        <v>236</v>
      </c>
      <c r="G16" s="17">
        <f>IF($A16="","",COUNTIF(Catalogo!$B$5:$B$104,$A16))</f>
        <v>1</v>
      </c>
      <c r="H16" s="17" t="str">
        <f t="shared" si="0"/>
        <v>Cubierto</v>
      </c>
      <c r="I16" s="6" t="s">
        <v>282</v>
      </c>
      <c r="J16" s="17" t="str">
        <f>IF($A16="","",IF(G16=0,"Sin casos",IF(COUNTIFS(Catalogo!$B$5:$B$104,$A16,Catalogo!$M$5:$M$104,"FALLIDO")&gt;0,"Fallido",IF(COUNTIFS(Catalogo!$B$5:$B$104,$A16,Catalogo!$M$5:$M$104,"APROBADO")=G16,"Aprobado","Pendiente"))))</f>
        <v>Pendiente</v>
      </c>
      <c r="K16" s="16"/>
    </row>
    <row r="17" spans="1:11" ht="28" x14ac:dyDescent="0.2">
      <c r="A17" s="17" t="str">
        <f>IF(Requisitos!A17="","",Requisitos!A17)</f>
        <v>RF-13</v>
      </c>
      <c r="B17" s="10" t="str">
        <f>IF($A17="","",Requisitos!B17)</f>
        <v>Autenticar usuarios con cuatro roles (administrador, planeador, supervisor de línea, analista de datos) y controlar permisos</v>
      </c>
      <c r="C17" s="8" t="str">
        <f>IF($A17="","",Requisitos!C17)</f>
        <v>Autenticación y roles</v>
      </c>
      <c r="D17" s="8" t="str">
        <f>IF($A17="","",Requisitos!D17)</f>
        <v>Funcional</v>
      </c>
      <c r="E17" s="8" t="str">
        <f>IF($A17="","",Requisitos!E17)</f>
        <v>Alta</v>
      </c>
      <c r="F17" s="6" t="s">
        <v>283</v>
      </c>
      <c r="G17" s="17">
        <f>IF($A17="","",COUNTIF(Catalogo!$B$5:$B$104,$A17))</f>
        <v>3</v>
      </c>
      <c r="H17" s="17" t="str">
        <f t="shared" si="0"/>
        <v>Cubierto</v>
      </c>
      <c r="I17" s="6" t="s">
        <v>274</v>
      </c>
      <c r="J17" s="17" t="str">
        <f>IF($A17="","",IF(G17=0,"Sin casos",IF(COUNTIFS(Catalogo!$B$5:$B$104,$A17,Catalogo!$M$5:$M$104,"FALLIDO")&gt;0,"Fallido",IF(COUNTIFS(Catalogo!$B$5:$B$104,$A17,Catalogo!$M$5:$M$104,"APROBADO")=G17,"Aprobado","Pendiente"))))</f>
        <v>Pendiente</v>
      </c>
      <c r="K17" s="16"/>
    </row>
    <row r="18" spans="1:11" ht="28" x14ac:dyDescent="0.2">
      <c r="A18" s="17" t="str">
        <f>IF(Requisitos!A18="","",Requisitos!A18)</f>
        <v>RNF-01</v>
      </c>
      <c r="B18" s="10" t="str">
        <f>IF($A18="","",Requisitos!B18)</f>
        <v>Rendimiento: calcular los pronósticos de 500 series en máximo 10 s (umbral de ejemplo; se define en el plan)</v>
      </c>
      <c r="C18" s="8" t="str">
        <f>IF($A18="","",Requisitos!C18)</f>
        <v>Pronóstico</v>
      </c>
      <c r="D18" s="8" t="str">
        <f>IF($A18="","",Requisitos!D18)</f>
        <v>No funcional</v>
      </c>
      <c r="E18" s="8" t="str">
        <f>IF($A18="","",Requisitos!E18)</f>
        <v>Alta</v>
      </c>
      <c r="F18" s="6" t="s">
        <v>241</v>
      </c>
      <c r="G18" s="17">
        <f>IF($A18="","",COUNTIF(Catalogo!$B$5:$B$104,$A18))</f>
        <v>1</v>
      </c>
      <c r="H18" s="17" t="str">
        <f t="shared" si="0"/>
        <v>Cubierto</v>
      </c>
      <c r="I18" s="6" t="s">
        <v>284</v>
      </c>
      <c r="J18" s="17" t="str">
        <f>IF($A18="","",IF(G18=0,"Sin casos",IF(COUNTIFS(Catalogo!$B$5:$B$104,$A18,Catalogo!$M$5:$M$104,"FALLIDO")&gt;0,"Fallido",IF(COUNTIFS(Catalogo!$B$5:$B$104,$A18,Catalogo!$M$5:$M$104,"APROBADO")=G18,"Aprobado","Pendiente"))))</f>
        <v>Pendiente</v>
      </c>
      <c r="K18" s="16"/>
    </row>
    <row r="19" spans="1:11" ht="28" x14ac:dyDescent="0.2">
      <c r="A19" s="17" t="str">
        <f>IF(Requisitos!A19="","",Requisitos!A19)</f>
        <v>RNF-02</v>
      </c>
      <c r="B19" s="10" t="str">
        <f>IF($A19="","",Requisitos!B19)</f>
        <v>Seguridad: ninguna ruta ni API protegida accesible sin sesión válida</v>
      </c>
      <c r="C19" s="8" t="str">
        <f>IF($A19="","",Requisitos!C19)</f>
        <v>Autenticación y roles</v>
      </c>
      <c r="D19" s="8" t="str">
        <f>IF($A19="","",Requisitos!D19)</f>
        <v>No funcional</v>
      </c>
      <c r="E19" s="8" t="str">
        <f>IF($A19="","",Requisitos!E19)</f>
        <v>Alta</v>
      </c>
      <c r="F19" s="6" t="s">
        <v>192</v>
      </c>
      <c r="G19" s="17">
        <f>IF($A19="","",COUNTIF(Catalogo!$B$5:$B$104,$A19))</f>
        <v>1</v>
      </c>
      <c r="H19" s="17" t="str">
        <f t="shared" si="0"/>
        <v>Cubierto</v>
      </c>
      <c r="I19" s="6" t="s">
        <v>285</v>
      </c>
      <c r="J19" s="17" t="str">
        <f>IF($A19="","",IF(G19=0,"Sin casos",IF(COUNTIFS(Catalogo!$B$5:$B$104,$A19,Catalogo!$M$5:$M$104,"FALLIDO")&gt;0,"Fallido",IF(COUNTIFS(Catalogo!$B$5:$B$104,$A19,Catalogo!$M$5:$M$104,"APROBADO")=G19,"Aprobado","Pendiente"))))</f>
        <v>Pendiente</v>
      </c>
      <c r="K19" s="16"/>
    </row>
    <row r="20" spans="1:11" ht="28" x14ac:dyDescent="0.2">
      <c r="A20" s="17" t="str">
        <f>IF(Requisitos!A20="","",Requisitos!A20)</f>
        <v>RNF-03</v>
      </c>
      <c r="B20" s="10" t="str">
        <f>IF($A20="","",Requisitos!B20)</f>
        <v>Accesibilidad básica (WCAG 2.1): contraste, etiquetas de formulario y navegación con teclado</v>
      </c>
      <c r="C20" s="8" t="str">
        <f>IF($A20="","",Requisitos!C20)</f>
        <v>Transversal</v>
      </c>
      <c r="D20" s="8" t="str">
        <f>IF($A20="","",Requisitos!D20)</f>
        <v>No funcional</v>
      </c>
      <c r="E20" s="8" t="str">
        <f>IF($A20="","",Requisitos!E20)</f>
        <v>Media</v>
      </c>
      <c r="F20" s="6"/>
      <c r="G20" s="17">
        <f>IF($A20="","",COUNTIF(Catalogo!$B$5:$B$104,$A20))</f>
        <v>0</v>
      </c>
      <c r="H20" s="17" t="str">
        <f t="shared" si="0"/>
        <v>SIN COBERTURA</v>
      </c>
      <c r="I20" s="6"/>
      <c r="J20" s="17" t="str">
        <f>IF($A20="","",IF(G20=0,"Sin casos",IF(COUNTIFS(Catalogo!$B$5:$B$104,$A20,Catalogo!$M$5:$M$104,"FALLIDO")&gt;0,"Fallido",IF(COUNTIFS(Catalogo!$B$5:$B$104,$A20,Catalogo!$M$5:$M$104,"APROBADO")=G20,"Aprobado","Pendiente"))))</f>
        <v>Sin casos</v>
      </c>
      <c r="K20" s="16"/>
    </row>
    <row r="21" spans="1:11" x14ac:dyDescent="0.2">
      <c r="A21" s="17" t="str">
        <f>IF(Requisitos!A21="","",Requisitos!A21)</f>
        <v/>
      </c>
      <c r="B21" s="10" t="str">
        <f>IF($A21="","",Requisitos!B21)</f>
        <v/>
      </c>
      <c r="C21" s="8" t="str">
        <f>IF($A21="","",Requisitos!C21)</f>
        <v/>
      </c>
      <c r="D21" s="8" t="str">
        <f>IF($A21="","",Requisitos!D21)</f>
        <v/>
      </c>
      <c r="E21" s="8" t="str">
        <f>IF($A21="","",Requisitos!E21)</f>
        <v/>
      </c>
      <c r="F21" s="6"/>
      <c r="G21" s="17" t="str">
        <f>IF($A21="","",COUNTIF(Catalogo!$B$5:$B$104,$A21))</f>
        <v/>
      </c>
      <c r="H21" s="17" t="str">
        <f t="shared" si="0"/>
        <v/>
      </c>
      <c r="I21" s="6"/>
      <c r="J21" s="17" t="str">
        <f>IF($A21="","",IF(G21=0,"Sin casos",IF(COUNTIFS(Catalogo!$B$5:$B$104,$A21,Catalogo!$M$5:$M$104,"FALLIDO")&gt;0,"Fallido",IF(COUNTIFS(Catalogo!$B$5:$B$104,$A21,Catalogo!$M$5:$M$104,"APROBADO")=G21,"Aprobado","Pendiente"))))</f>
        <v/>
      </c>
      <c r="K21" s="16"/>
    </row>
    <row r="22" spans="1:11" x14ac:dyDescent="0.2">
      <c r="A22" s="17" t="str">
        <f>IF(Requisitos!A22="","",Requisitos!A22)</f>
        <v/>
      </c>
      <c r="B22" s="10" t="str">
        <f>IF($A22="","",Requisitos!B22)</f>
        <v/>
      </c>
      <c r="C22" s="8" t="str">
        <f>IF($A22="","",Requisitos!C22)</f>
        <v/>
      </c>
      <c r="D22" s="8" t="str">
        <f>IF($A22="","",Requisitos!D22)</f>
        <v/>
      </c>
      <c r="E22" s="8" t="str">
        <f>IF($A22="","",Requisitos!E22)</f>
        <v/>
      </c>
      <c r="F22" s="6"/>
      <c r="G22" s="17" t="str">
        <f>IF($A22="","",COUNTIF(Catalogo!$B$5:$B$104,$A22))</f>
        <v/>
      </c>
      <c r="H22" s="17" t="str">
        <f t="shared" si="0"/>
        <v/>
      </c>
      <c r="I22" s="6"/>
      <c r="J22" s="17" t="str">
        <f>IF($A22="","",IF(G22=0,"Sin casos",IF(COUNTIFS(Catalogo!$B$5:$B$104,$A22,Catalogo!$M$5:$M$104,"FALLIDO")&gt;0,"Fallido",IF(COUNTIFS(Catalogo!$B$5:$B$104,$A22,Catalogo!$M$5:$M$104,"APROBADO")=G22,"Aprobado","Pendiente"))))</f>
        <v/>
      </c>
      <c r="K22" s="16"/>
    </row>
    <row r="23" spans="1:11" x14ac:dyDescent="0.2">
      <c r="A23" s="17" t="str">
        <f>IF(Requisitos!A23="","",Requisitos!A23)</f>
        <v/>
      </c>
      <c r="B23" s="10" t="str">
        <f>IF($A23="","",Requisitos!B23)</f>
        <v/>
      </c>
      <c r="C23" s="8" t="str">
        <f>IF($A23="","",Requisitos!C23)</f>
        <v/>
      </c>
      <c r="D23" s="8" t="str">
        <f>IF($A23="","",Requisitos!D23)</f>
        <v/>
      </c>
      <c r="E23" s="8" t="str">
        <f>IF($A23="","",Requisitos!E23)</f>
        <v/>
      </c>
      <c r="F23" s="6"/>
      <c r="G23" s="17" t="str">
        <f>IF($A23="","",COUNTIF(Catalogo!$B$5:$B$104,$A23))</f>
        <v/>
      </c>
      <c r="H23" s="17" t="str">
        <f t="shared" si="0"/>
        <v/>
      </c>
      <c r="I23" s="6"/>
      <c r="J23" s="17" t="str">
        <f>IF($A23="","",IF(G23=0,"Sin casos",IF(COUNTIFS(Catalogo!$B$5:$B$104,$A23,Catalogo!$M$5:$M$104,"FALLIDO")&gt;0,"Fallido",IF(COUNTIFS(Catalogo!$B$5:$B$104,$A23,Catalogo!$M$5:$M$104,"APROBADO")=G23,"Aprobado","Pendiente"))))</f>
        <v/>
      </c>
      <c r="K23" s="16"/>
    </row>
    <row r="24" spans="1:11" x14ac:dyDescent="0.2">
      <c r="A24" s="17" t="str">
        <f>IF(Requisitos!A24="","",Requisitos!A24)</f>
        <v/>
      </c>
      <c r="B24" s="10" t="str">
        <f>IF($A24="","",Requisitos!B24)</f>
        <v/>
      </c>
      <c r="C24" s="8" t="str">
        <f>IF($A24="","",Requisitos!C24)</f>
        <v/>
      </c>
      <c r="D24" s="8" t="str">
        <f>IF($A24="","",Requisitos!D24)</f>
        <v/>
      </c>
      <c r="E24" s="8" t="str">
        <f>IF($A24="","",Requisitos!E24)</f>
        <v/>
      </c>
      <c r="F24" s="6"/>
      <c r="G24" s="17" t="str">
        <f>IF($A24="","",COUNTIF(Catalogo!$B$5:$B$104,$A24))</f>
        <v/>
      </c>
      <c r="H24" s="17" t="str">
        <f t="shared" si="0"/>
        <v/>
      </c>
      <c r="I24" s="6"/>
      <c r="J24" s="17" t="str">
        <f>IF($A24="","",IF(G24=0,"Sin casos",IF(COUNTIFS(Catalogo!$B$5:$B$104,$A24,Catalogo!$M$5:$M$104,"FALLIDO")&gt;0,"Fallido",IF(COUNTIFS(Catalogo!$B$5:$B$104,$A24,Catalogo!$M$5:$M$104,"APROBADO")=G24,"Aprobado","Pendiente"))))</f>
        <v/>
      </c>
      <c r="K24" s="16"/>
    </row>
    <row r="25" spans="1:11" x14ac:dyDescent="0.2">
      <c r="A25" s="17" t="str">
        <f>IF(Requisitos!A25="","",Requisitos!A25)</f>
        <v/>
      </c>
      <c r="B25" s="10" t="str">
        <f>IF($A25="","",Requisitos!B25)</f>
        <v/>
      </c>
      <c r="C25" s="8" t="str">
        <f>IF($A25="","",Requisitos!C25)</f>
        <v/>
      </c>
      <c r="D25" s="8" t="str">
        <f>IF($A25="","",Requisitos!D25)</f>
        <v/>
      </c>
      <c r="E25" s="8" t="str">
        <f>IF($A25="","",Requisitos!E25)</f>
        <v/>
      </c>
      <c r="F25" s="6"/>
      <c r="G25" s="17" t="str">
        <f>IF($A25="","",COUNTIF(Catalogo!$B$5:$B$104,$A25))</f>
        <v/>
      </c>
      <c r="H25" s="17" t="str">
        <f t="shared" si="0"/>
        <v/>
      </c>
      <c r="I25" s="6"/>
      <c r="J25" s="17" t="str">
        <f>IF($A25="","",IF(G25=0,"Sin casos",IF(COUNTIFS(Catalogo!$B$5:$B$104,$A25,Catalogo!$M$5:$M$104,"FALLIDO")&gt;0,"Fallido",IF(COUNTIFS(Catalogo!$B$5:$B$104,$A25,Catalogo!$M$5:$M$104,"APROBADO")=G25,"Aprobado","Pendiente"))))</f>
        <v/>
      </c>
      <c r="K25" s="16"/>
    </row>
    <row r="26" spans="1:11" x14ac:dyDescent="0.2">
      <c r="A26" s="17" t="str">
        <f>IF(Requisitos!A26="","",Requisitos!A26)</f>
        <v/>
      </c>
      <c r="B26" s="10" t="str">
        <f>IF($A26="","",Requisitos!B26)</f>
        <v/>
      </c>
      <c r="C26" s="8" t="str">
        <f>IF($A26="","",Requisitos!C26)</f>
        <v/>
      </c>
      <c r="D26" s="8" t="str">
        <f>IF($A26="","",Requisitos!D26)</f>
        <v/>
      </c>
      <c r="E26" s="8" t="str">
        <f>IF($A26="","",Requisitos!E26)</f>
        <v/>
      </c>
      <c r="F26" s="6"/>
      <c r="G26" s="17" t="str">
        <f>IF($A26="","",COUNTIF(Catalogo!$B$5:$B$104,$A26))</f>
        <v/>
      </c>
      <c r="H26" s="17" t="str">
        <f t="shared" si="0"/>
        <v/>
      </c>
      <c r="I26" s="6"/>
      <c r="J26" s="17" t="str">
        <f>IF($A26="","",IF(G26=0,"Sin casos",IF(COUNTIFS(Catalogo!$B$5:$B$104,$A26,Catalogo!$M$5:$M$104,"FALLIDO")&gt;0,"Fallido",IF(COUNTIFS(Catalogo!$B$5:$B$104,$A26,Catalogo!$M$5:$M$104,"APROBADO")=G26,"Aprobado","Pendiente"))))</f>
        <v/>
      </c>
      <c r="K26" s="16"/>
    </row>
    <row r="27" spans="1:11" x14ac:dyDescent="0.2">
      <c r="A27" s="17" t="str">
        <f>IF(Requisitos!A27="","",Requisitos!A27)</f>
        <v/>
      </c>
      <c r="B27" s="10" t="str">
        <f>IF($A27="","",Requisitos!B27)</f>
        <v/>
      </c>
      <c r="C27" s="8" t="str">
        <f>IF($A27="","",Requisitos!C27)</f>
        <v/>
      </c>
      <c r="D27" s="8" t="str">
        <f>IF($A27="","",Requisitos!D27)</f>
        <v/>
      </c>
      <c r="E27" s="8" t="str">
        <f>IF($A27="","",Requisitos!E27)</f>
        <v/>
      </c>
      <c r="F27" s="6"/>
      <c r="G27" s="17" t="str">
        <f>IF($A27="","",COUNTIF(Catalogo!$B$5:$B$104,$A27))</f>
        <v/>
      </c>
      <c r="H27" s="17" t="str">
        <f t="shared" si="0"/>
        <v/>
      </c>
      <c r="I27" s="6"/>
      <c r="J27" s="17" t="str">
        <f>IF($A27="","",IF(G27=0,"Sin casos",IF(COUNTIFS(Catalogo!$B$5:$B$104,$A27,Catalogo!$M$5:$M$104,"FALLIDO")&gt;0,"Fallido",IF(COUNTIFS(Catalogo!$B$5:$B$104,$A27,Catalogo!$M$5:$M$104,"APROBADO")=G27,"Aprobado","Pendiente"))))</f>
        <v/>
      </c>
      <c r="K27" s="16"/>
    </row>
    <row r="28" spans="1:11" x14ac:dyDescent="0.2">
      <c r="A28" s="17" t="str">
        <f>IF(Requisitos!A28="","",Requisitos!A28)</f>
        <v/>
      </c>
      <c r="B28" s="10" t="str">
        <f>IF($A28="","",Requisitos!B28)</f>
        <v/>
      </c>
      <c r="C28" s="8" t="str">
        <f>IF($A28="","",Requisitos!C28)</f>
        <v/>
      </c>
      <c r="D28" s="8" t="str">
        <f>IF($A28="","",Requisitos!D28)</f>
        <v/>
      </c>
      <c r="E28" s="8" t="str">
        <f>IF($A28="","",Requisitos!E28)</f>
        <v/>
      </c>
      <c r="F28" s="6"/>
      <c r="G28" s="17" t="str">
        <f>IF($A28="","",COUNTIF(Catalogo!$B$5:$B$104,$A28))</f>
        <v/>
      </c>
      <c r="H28" s="17" t="str">
        <f t="shared" si="0"/>
        <v/>
      </c>
      <c r="I28" s="6"/>
      <c r="J28" s="17" t="str">
        <f>IF($A28="","",IF(G28=0,"Sin casos",IF(COUNTIFS(Catalogo!$B$5:$B$104,$A28,Catalogo!$M$5:$M$104,"FALLIDO")&gt;0,"Fallido",IF(COUNTIFS(Catalogo!$B$5:$B$104,$A28,Catalogo!$M$5:$M$104,"APROBADO")=G28,"Aprobado","Pendiente"))))</f>
        <v/>
      </c>
      <c r="K28" s="16"/>
    </row>
    <row r="29" spans="1:11" x14ac:dyDescent="0.2">
      <c r="A29" s="17" t="str">
        <f>IF(Requisitos!A29="","",Requisitos!A29)</f>
        <v/>
      </c>
      <c r="B29" s="10" t="str">
        <f>IF($A29="","",Requisitos!B29)</f>
        <v/>
      </c>
      <c r="C29" s="8" t="str">
        <f>IF($A29="","",Requisitos!C29)</f>
        <v/>
      </c>
      <c r="D29" s="8" t="str">
        <f>IF($A29="","",Requisitos!D29)</f>
        <v/>
      </c>
      <c r="E29" s="8" t="str">
        <f>IF($A29="","",Requisitos!E29)</f>
        <v/>
      </c>
      <c r="F29" s="6"/>
      <c r="G29" s="17" t="str">
        <f>IF($A29="","",COUNTIF(Catalogo!$B$5:$B$104,$A29))</f>
        <v/>
      </c>
      <c r="H29" s="17" t="str">
        <f t="shared" si="0"/>
        <v/>
      </c>
      <c r="I29" s="6"/>
      <c r="J29" s="17" t="str">
        <f>IF($A29="","",IF(G29=0,"Sin casos",IF(COUNTIFS(Catalogo!$B$5:$B$104,$A29,Catalogo!$M$5:$M$104,"FALLIDO")&gt;0,"Fallido",IF(COUNTIFS(Catalogo!$B$5:$B$104,$A29,Catalogo!$M$5:$M$104,"APROBADO")=G29,"Aprobado","Pendiente"))))</f>
        <v/>
      </c>
      <c r="K29" s="16"/>
    </row>
    <row r="30" spans="1:11" x14ac:dyDescent="0.2">
      <c r="A30" s="17" t="str">
        <f>IF(Requisitos!A30="","",Requisitos!A30)</f>
        <v/>
      </c>
      <c r="B30" s="10" t="str">
        <f>IF($A30="","",Requisitos!B30)</f>
        <v/>
      </c>
      <c r="C30" s="8" t="str">
        <f>IF($A30="","",Requisitos!C30)</f>
        <v/>
      </c>
      <c r="D30" s="8" t="str">
        <f>IF($A30="","",Requisitos!D30)</f>
        <v/>
      </c>
      <c r="E30" s="8" t="str">
        <f>IF($A30="","",Requisitos!E30)</f>
        <v/>
      </c>
      <c r="F30" s="6"/>
      <c r="G30" s="17" t="str">
        <f>IF($A30="","",COUNTIF(Catalogo!$B$5:$B$104,$A30))</f>
        <v/>
      </c>
      <c r="H30" s="17" t="str">
        <f t="shared" si="0"/>
        <v/>
      </c>
      <c r="I30" s="6"/>
      <c r="J30" s="17" t="str">
        <f>IF($A30="","",IF(G30=0,"Sin casos",IF(COUNTIFS(Catalogo!$B$5:$B$104,$A30,Catalogo!$M$5:$M$104,"FALLIDO")&gt;0,"Fallido",IF(COUNTIFS(Catalogo!$B$5:$B$104,$A30,Catalogo!$M$5:$M$104,"APROBADO")=G30,"Aprobado","Pendiente"))))</f>
        <v/>
      </c>
      <c r="K30" s="16"/>
    </row>
    <row r="31" spans="1:11" x14ac:dyDescent="0.2">
      <c r="A31" s="17" t="str">
        <f>IF(Requisitos!A31="","",Requisitos!A31)</f>
        <v/>
      </c>
      <c r="B31" s="10" t="str">
        <f>IF($A31="","",Requisitos!B31)</f>
        <v/>
      </c>
      <c r="C31" s="8" t="str">
        <f>IF($A31="","",Requisitos!C31)</f>
        <v/>
      </c>
      <c r="D31" s="8" t="str">
        <f>IF($A31="","",Requisitos!D31)</f>
        <v/>
      </c>
      <c r="E31" s="8" t="str">
        <f>IF($A31="","",Requisitos!E31)</f>
        <v/>
      </c>
      <c r="F31" s="6"/>
      <c r="G31" s="17" t="str">
        <f>IF($A31="","",COUNTIF(Catalogo!$B$5:$B$104,$A31))</f>
        <v/>
      </c>
      <c r="H31" s="17" t="str">
        <f t="shared" si="0"/>
        <v/>
      </c>
      <c r="I31" s="6"/>
      <c r="J31" s="17" t="str">
        <f>IF($A31="","",IF(G31=0,"Sin casos",IF(COUNTIFS(Catalogo!$B$5:$B$104,$A31,Catalogo!$M$5:$M$104,"FALLIDO")&gt;0,"Fallido",IF(COUNTIFS(Catalogo!$B$5:$B$104,$A31,Catalogo!$M$5:$M$104,"APROBADO")=G31,"Aprobado","Pendiente"))))</f>
        <v/>
      </c>
      <c r="K31" s="16"/>
    </row>
    <row r="32" spans="1:11" x14ac:dyDescent="0.2">
      <c r="A32" s="17" t="str">
        <f>IF(Requisitos!A32="","",Requisitos!A32)</f>
        <v/>
      </c>
      <c r="B32" s="10" t="str">
        <f>IF($A32="","",Requisitos!B32)</f>
        <v/>
      </c>
      <c r="C32" s="8" t="str">
        <f>IF($A32="","",Requisitos!C32)</f>
        <v/>
      </c>
      <c r="D32" s="8" t="str">
        <f>IF($A32="","",Requisitos!D32)</f>
        <v/>
      </c>
      <c r="E32" s="8" t="str">
        <f>IF($A32="","",Requisitos!E32)</f>
        <v/>
      </c>
      <c r="F32" s="6"/>
      <c r="G32" s="17" t="str">
        <f>IF($A32="","",COUNTIF(Catalogo!$B$5:$B$104,$A32))</f>
        <v/>
      </c>
      <c r="H32" s="17" t="str">
        <f t="shared" si="0"/>
        <v/>
      </c>
      <c r="I32" s="6"/>
      <c r="J32" s="17" t="str">
        <f>IF($A32="","",IF(G32=0,"Sin casos",IF(COUNTIFS(Catalogo!$B$5:$B$104,$A32,Catalogo!$M$5:$M$104,"FALLIDO")&gt;0,"Fallido",IF(COUNTIFS(Catalogo!$B$5:$B$104,$A32,Catalogo!$M$5:$M$104,"APROBADO")=G32,"Aprobado","Pendiente"))))</f>
        <v/>
      </c>
      <c r="K32" s="16"/>
    </row>
    <row r="33" spans="1:11" x14ac:dyDescent="0.2">
      <c r="A33" s="17" t="str">
        <f>IF(Requisitos!A33="","",Requisitos!A33)</f>
        <v/>
      </c>
      <c r="B33" s="10" t="str">
        <f>IF($A33="","",Requisitos!B33)</f>
        <v/>
      </c>
      <c r="C33" s="8" t="str">
        <f>IF($A33="","",Requisitos!C33)</f>
        <v/>
      </c>
      <c r="D33" s="8" t="str">
        <f>IF($A33="","",Requisitos!D33)</f>
        <v/>
      </c>
      <c r="E33" s="8" t="str">
        <f>IF($A33="","",Requisitos!E33)</f>
        <v/>
      </c>
      <c r="F33" s="6"/>
      <c r="G33" s="17" t="str">
        <f>IF($A33="","",COUNTIF(Catalogo!$B$5:$B$104,$A33))</f>
        <v/>
      </c>
      <c r="H33" s="17" t="str">
        <f t="shared" si="0"/>
        <v/>
      </c>
      <c r="I33" s="6"/>
      <c r="J33" s="17" t="str">
        <f>IF($A33="","",IF(G33=0,"Sin casos",IF(COUNTIFS(Catalogo!$B$5:$B$104,$A33,Catalogo!$M$5:$M$104,"FALLIDO")&gt;0,"Fallido",IF(COUNTIFS(Catalogo!$B$5:$B$104,$A33,Catalogo!$M$5:$M$104,"APROBADO")=G33,"Aprobado","Pendiente"))))</f>
        <v/>
      </c>
      <c r="K33" s="16"/>
    </row>
    <row r="34" spans="1:11" x14ac:dyDescent="0.2">
      <c r="A34" s="17" t="str">
        <f>IF(Requisitos!A34="","",Requisitos!A34)</f>
        <v/>
      </c>
      <c r="B34" s="10" t="str">
        <f>IF($A34="","",Requisitos!B34)</f>
        <v/>
      </c>
      <c r="C34" s="8" t="str">
        <f>IF($A34="","",Requisitos!C34)</f>
        <v/>
      </c>
      <c r="D34" s="8" t="str">
        <f>IF($A34="","",Requisitos!D34)</f>
        <v/>
      </c>
      <c r="E34" s="8" t="str">
        <f>IF($A34="","",Requisitos!E34)</f>
        <v/>
      </c>
      <c r="F34" s="6"/>
      <c r="G34" s="17" t="str">
        <f>IF($A34="","",COUNTIF(Catalogo!$B$5:$B$104,$A34))</f>
        <v/>
      </c>
      <c r="H34" s="17" t="str">
        <f t="shared" si="0"/>
        <v/>
      </c>
      <c r="I34" s="6"/>
      <c r="J34" s="17" t="str">
        <f>IF($A34="","",IF(G34=0,"Sin casos",IF(COUNTIFS(Catalogo!$B$5:$B$104,$A34,Catalogo!$M$5:$M$104,"FALLIDO")&gt;0,"Fallido",IF(COUNTIFS(Catalogo!$B$5:$B$104,$A34,Catalogo!$M$5:$M$104,"APROBADO")=G34,"Aprobado","Pendiente"))))</f>
        <v/>
      </c>
      <c r="K34" s="16"/>
    </row>
    <row r="35" spans="1:11" x14ac:dyDescent="0.2">
      <c r="A35" s="17" t="str">
        <f>IF(Requisitos!A35="","",Requisitos!A35)</f>
        <v/>
      </c>
      <c r="B35" s="10" t="str">
        <f>IF($A35="","",Requisitos!B35)</f>
        <v/>
      </c>
      <c r="C35" s="8" t="str">
        <f>IF($A35="","",Requisitos!C35)</f>
        <v/>
      </c>
      <c r="D35" s="8" t="str">
        <f>IF($A35="","",Requisitos!D35)</f>
        <v/>
      </c>
      <c r="E35" s="8" t="str">
        <f>IF($A35="","",Requisitos!E35)</f>
        <v/>
      </c>
      <c r="F35" s="6"/>
      <c r="G35" s="17" t="str">
        <f>IF($A35="","",COUNTIF(Catalogo!$B$5:$B$104,$A35))</f>
        <v/>
      </c>
      <c r="H35" s="17" t="str">
        <f t="shared" si="0"/>
        <v/>
      </c>
      <c r="I35" s="6"/>
      <c r="J35" s="17" t="str">
        <f>IF($A35="","",IF(G35=0,"Sin casos",IF(COUNTIFS(Catalogo!$B$5:$B$104,$A35,Catalogo!$M$5:$M$104,"FALLIDO")&gt;0,"Fallido",IF(COUNTIFS(Catalogo!$B$5:$B$104,$A35,Catalogo!$M$5:$M$104,"APROBADO")=G35,"Aprobado","Pendiente"))))</f>
        <v/>
      </c>
      <c r="K35" s="16"/>
    </row>
    <row r="36" spans="1:11" x14ac:dyDescent="0.2">
      <c r="A36" s="17" t="str">
        <f>IF(Requisitos!A36="","",Requisitos!A36)</f>
        <v/>
      </c>
      <c r="B36" s="10" t="str">
        <f>IF($A36="","",Requisitos!B36)</f>
        <v/>
      </c>
      <c r="C36" s="8" t="str">
        <f>IF($A36="","",Requisitos!C36)</f>
        <v/>
      </c>
      <c r="D36" s="8" t="str">
        <f>IF($A36="","",Requisitos!D36)</f>
        <v/>
      </c>
      <c r="E36" s="8" t="str">
        <f>IF($A36="","",Requisitos!E36)</f>
        <v/>
      </c>
      <c r="F36" s="6"/>
      <c r="G36" s="17" t="str">
        <f>IF($A36="","",COUNTIF(Catalogo!$B$5:$B$104,$A36))</f>
        <v/>
      </c>
      <c r="H36" s="17" t="str">
        <f t="shared" si="0"/>
        <v/>
      </c>
      <c r="I36" s="6"/>
      <c r="J36" s="17" t="str">
        <f>IF($A36="","",IF(G36=0,"Sin casos",IF(COUNTIFS(Catalogo!$B$5:$B$104,$A36,Catalogo!$M$5:$M$104,"FALLIDO")&gt;0,"Fallido",IF(COUNTIFS(Catalogo!$B$5:$B$104,$A36,Catalogo!$M$5:$M$104,"APROBADO")=G36,"Aprobado","Pendiente"))))</f>
        <v/>
      </c>
      <c r="K36" s="16"/>
    </row>
    <row r="37" spans="1:11" x14ac:dyDescent="0.2">
      <c r="A37" s="17" t="str">
        <f>IF(Requisitos!A37="","",Requisitos!A37)</f>
        <v/>
      </c>
      <c r="B37" s="10" t="str">
        <f>IF($A37="","",Requisitos!B37)</f>
        <v/>
      </c>
      <c r="C37" s="8" t="str">
        <f>IF($A37="","",Requisitos!C37)</f>
        <v/>
      </c>
      <c r="D37" s="8" t="str">
        <f>IF($A37="","",Requisitos!D37)</f>
        <v/>
      </c>
      <c r="E37" s="8" t="str">
        <f>IF($A37="","",Requisitos!E37)</f>
        <v/>
      </c>
      <c r="F37" s="6"/>
      <c r="G37" s="17" t="str">
        <f>IF($A37="","",COUNTIF(Catalogo!$B$5:$B$104,$A37))</f>
        <v/>
      </c>
      <c r="H37" s="17" t="str">
        <f t="shared" ref="H37:H68" si="1">IF($A37="","",IF(G37=0,"SIN COBERTURA","Cubierto"))</f>
        <v/>
      </c>
      <c r="I37" s="6"/>
      <c r="J37" s="17" t="str">
        <f>IF($A37="","",IF(G37=0,"Sin casos",IF(COUNTIFS(Catalogo!$B$5:$B$104,$A37,Catalogo!$M$5:$M$104,"FALLIDO")&gt;0,"Fallido",IF(COUNTIFS(Catalogo!$B$5:$B$104,$A37,Catalogo!$M$5:$M$104,"APROBADO")=G37,"Aprobado","Pendiente"))))</f>
        <v/>
      </c>
      <c r="K37" s="16"/>
    </row>
    <row r="38" spans="1:11" x14ac:dyDescent="0.2">
      <c r="A38" s="17" t="str">
        <f>IF(Requisitos!A38="","",Requisitos!A38)</f>
        <v/>
      </c>
      <c r="B38" s="10" t="str">
        <f>IF($A38="","",Requisitos!B38)</f>
        <v/>
      </c>
      <c r="C38" s="8" t="str">
        <f>IF($A38="","",Requisitos!C38)</f>
        <v/>
      </c>
      <c r="D38" s="8" t="str">
        <f>IF($A38="","",Requisitos!D38)</f>
        <v/>
      </c>
      <c r="E38" s="8" t="str">
        <f>IF($A38="","",Requisitos!E38)</f>
        <v/>
      </c>
      <c r="F38" s="6"/>
      <c r="G38" s="17" t="str">
        <f>IF($A38="","",COUNTIF(Catalogo!$B$5:$B$104,$A38))</f>
        <v/>
      </c>
      <c r="H38" s="17" t="str">
        <f t="shared" si="1"/>
        <v/>
      </c>
      <c r="I38" s="6"/>
      <c r="J38" s="17" t="str">
        <f>IF($A38="","",IF(G38=0,"Sin casos",IF(COUNTIFS(Catalogo!$B$5:$B$104,$A38,Catalogo!$M$5:$M$104,"FALLIDO")&gt;0,"Fallido",IF(COUNTIFS(Catalogo!$B$5:$B$104,$A38,Catalogo!$M$5:$M$104,"APROBADO")=G38,"Aprobado","Pendiente"))))</f>
        <v/>
      </c>
      <c r="K38" s="16"/>
    </row>
    <row r="39" spans="1:11" x14ac:dyDescent="0.2">
      <c r="A39" s="17" t="str">
        <f>IF(Requisitos!A39="","",Requisitos!A39)</f>
        <v/>
      </c>
      <c r="B39" s="10" t="str">
        <f>IF($A39="","",Requisitos!B39)</f>
        <v/>
      </c>
      <c r="C39" s="8" t="str">
        <f>IF($A39="","",Requisitos!C39)</f>
        <v/>
      </c>
      <c r="D39" s="8" t="str">
        <f>IF($A39="","",Requisitos!D39)</f>
        <v/>
      </c>
      <c r="E39" s="8" t="str">
        <f>IF($A39="","",Requisitos!E39)</f>
        <v/>
      </c>
      <c r="F39" s="6"/>
      <c r="G39" s="17" t="str">
        <f>IF($A39="","",COUNTIF(Catalogo!$B$5:$B$104,$A39))</f>
        <v/>
      </c>
      <c r="H39" s="17" t="str">
        <f t="shared" si="1"/>
        <v/>
      </c>
      <c r="I39" s="6"/>
      <c r="J39" s="17" t="str">
        <f>IF($A39="","",IF(G39=0,"Sin casos",IF(COUNTIFS(Catalogo!$B$5:$B$104,$A39,Catalogo!$M$5:$M$104,"FALLIDO")&gt;0,"Fallido",IF(COUNTIFS(Catalogo!$B$5:$B$104,$A39,Catalogo!$M$5:$M$104,"APROBADO")=G39,"Aprobado","Pendiente"))))</f>
        <v/>
      </c>
      <c r="K39" s="16"/>
    </row>
    <row r="40" spans="1:11" x14ac:dyDescent="0.2">
      <c r="A40" s="17" t="str">
        <f>IF(Requisitos!A40="","",Requisitos!A40)</f>
        <v/>
      </c>
      <c r="B40" s="10" t="str">
        <f>IF($A40="","",Requisitos!B40)</f>
        <v/>
      </c>
      <c r="C40" s="8" t="str">
        <f>IF($A40="","",Requisitos!C40)</f>
        <v/>
      </c>
      <c r="D40" s="8" t="str">
        <f>IF($A40="","",Requisitos!D40)</f>
        <v/>
      </c>
      <c r="E40" s="8" t="str">
        <f>IF($A40="","",Requisitos!E40)</f>
        <v/>
      </c>
      <c r="F40" s="6"/>
      <c r="G40" s="17" t="str">
        <f>IF($A40="","",COUNTIF(Catalogo!$B$5:$B$104,$A40))</f>
        <v/>
      </c>
      <c r="H40" s="17" t="str">
        <f t="shared" si="1"/>
        <v/>
      </c>
      <c r="I40" s="6"/>
      <c r="J40" s="17" t="str">
        <f>IF($A40="","",IF(G40=0,"Sin casos",IF(COUNTIFS(Catalogo!$B$5:$B$104,$A40,Catalogo!$M$5:$M$104,"FALLIDO")&gt;0,"Fallido",IF(COUNTIFS(Catalogo!$B$5:$B$104,$A40,Catalogo!$M$5:$M$104,"APROBADO")=G40,"Aprobado","Pendiente"))))</f>
        <v/>
      </c>
      <c r="K40" s="16"/>
    </row>
    <row r="41" spans="1:11" x14ac:dyDescent="0.2">
      <c r="A41" s="17" t="str">
        <f>IF(Requisitos!A41="","",Requisitos!A41)</f>
        <v/>
      </c>
      <c r="B41" s="10" t="str">
        <f>IF($A41="","",Requisitos!B41)</f>
        <v/>
      </c>
      <c r="C41" s="8" t="str">
        <f>IF($A41="","",Requisitos!C41)</f>
        <v/>
      </c>
      <c r="D41" s="8" t="str">
        <f>IF($A41="","",Requisitos!D41)</f>
        <v/>
      </c>
      <c r="E41" s="8" t="str">
        <f>IF($A41="","",Requisitos!E41)</f>
        <v/>
      </c>
      <c r="F41" s="6"/>
      <c r="G41" s="17" t="str">
        <f>IF($A41="","",COUNTIF(Catalogo!$B$5:$B$104,$A41))</f>
        <v/>
      </c>
      <c r="H41" s="17" t="str">
        <f t="shared" si="1"/>
        <v/>
      </c>
      <c r="I41" s="6"/>
      <c r="J41" s="17" t="str">
        <f>IF($A41="","",IF(G41=0,"Sin casos",IF(COUNTIFS(Catalogo!$B$5:$B$104,$A41,Catalogo!$M$5:$M$104,"FALLIDO")&gt;0,"Fallido",IF(COUNTIFS(Catalogo!$B$5:$B$104,$A41,Catalogo!$M$5:$M$104,"APROBADO")=G41,"Aprobado","Pendiente"))))</f>
        <v/>
      </c>
      <c r="K41" s="16"/>
    </row>
    <row r="42" spans="1:11" x14ac:dyDescent="0.2">
      <c r="A42" s="17" t="str">
        <f>IF(Requisitos!A42="","",Requisitos!A42)</f>
        <v/>
      </c>
      <c r="B42" s="10" t="str">
        <f>IF($A42="","",Requisitos!B42)</f>
        <v/>
      </c>
      <c r="C42" s="8" t="str">
        <f>IF($A42="","",Requisitos!C42)</f>
        <v/>
      </c>
      <c r="D42" s="8" t="str">
        <f>IF($A42="","",Requisitos!D42)</f>
        <v/>
      </c>
      <c r="E42" s="8" t="str">
        <f>IF($A42="","",Requisitos!E42)</f>
        <v/>
      </c>
      <c r="F42" s="6"/>
      <c r="G42" s="17" t="str">
        <f>IF($A42="","",COUNTIF(Catalogo!$B$5:$B$104,$A42))</f>
        <v/>
      </c>
      <c r="H42" s="17" t="str">
        <f t="shared" si="1"/>
        <v/>
      </c>
      <c r="I42" s="6"/>
      <c r="J42" s="17" t="str">
        <f>IF($A42="","",IF(G42=0,"Sin casos",IF(COUNTIFS(Catalogo!$B$5:$B$104,$A42,Catalogo!$M$5:$M$104,"FALLIDO")&gt;0,"Fallido",IF(COUNTIFS(Catalogo!$B$5:$B$104,$A42,Catalogo!$M$5:$M$104,"APROBADO")=G42,"Aprobado","Pendiente"))))</f>
        <v/>
      </c>
      <c r="K42" s="16"/>
    </row>
    <row r="43" spans="1:11" x14ac:dyDescent="0.2">
      <c r="A43" s="17" t="str">
        <f>IF(Requisitos!A43="","",Requisitos!A43)</f>
        <v/>
      </c>
      <c r="B43" s="10" t="str">
        <f>IF($A43="","",Requisitos!B43)</f>
        <v/>
      </c>
      <c r="C43" s="8" t="str">
        <f>IF($A43="","",Requisitos!C43)</f>
        <v/>
      </c>
      <c r="D43" s="8" t="str">
        <f>IF($A43="","",Requisitos!D43)</f>
        <v/>
      </c>
      <c r="E43" s="8" t="str">
        <f>IF($A43="","",Requisitos!E43)</f>
        <v/>
      </c>
      <c r="F43" s="6"/>
      <c r="G43" s="17" t="str">
        <f>IF($A43="","",COUNTIF(Catalogo!$B$5:$B$104,$A43))</f>
        <v/>
      </c>
      <c r="H43" s="17" t="str">
        <f t="shared" si="1"/>
        <v/>
      </c>
      <c r="I43" s="6"/>
      <c r="J43" s="17" t="str">
        <f>IF($A43="","",IF(G43=0,"Sin casos",IF(COUNTIFS(Catalogo!$B$5:$B$104,$A43,Catalogo!$M$5:$M$104,"FALLIDO")&gt;0,"Fallido",IF(COUNTIFS(Catalogo!$B$5:$B$104,$A43,Catalogo!$M$5:$M$104,"APROBADO")=G43,"Aprobado","Pendiente"))))</f>
        <v/>
      </c>
      <c r="K43" s="16"/>
    </row>
    <row r="44" spans="1:11" x14ac:dyDescent="0.2">
      <c r="A44" s="17" t="str">
        <f>IF(Requisitos!A44="","",Requisitos!A44)</f>
        <v/>
      </c>
      <c r="B44" s="10" t="str">
        <f>IF($A44="","",Requisitos!B44)</f>
        <v/>
      </c>
      <c r="C44" s="8" t="str">
        <f>IF($A44="","",Requisitos!C44)</f>
        <v/>
      </c>
      <c r="D44" s="8" t="str">
        <f>IF($A44="","",Requisitos!D44)</f>
        <v/>
      </c>
      <c r="E44" s="8" t="str">
        <f>IF($A44="","",Requisitos!E44)</f>
        <v/>
      </c>
      <c r="F44" s="6"/>
      <c r="G44" s="17" t="str">
        <f>IF($A44="","",COUNTIF(Catalogo!$B$5:$B$104,$A44))</f>
        <v/>
      </c>
      <c r="H44" s="17" t="str">
        <f t="shared" si="1"/>
        <v/>
      </c>
      <c r="I44" s="6"/>
      <c r="J44" s="17" t="str">
        <f>IF($A44="","",IF(G44=0,"Sin casos",IF(COUNTIFS(Catalogo!$B$5:$B$104,$A44,Catalogo!$M$5:$M$104,"FALLIDO")&gt;0,"Fallido",IF(COUNTIFS(Catalogo!$B$5:$B$104,$A44,Catalogo!$M$5:$M$104,"APROBADO")=G44,"Aprobado","Pendiente"))))</f>
        <v/>
      </c>
      <c r="K44" s="16"/>
    </row>
    <row r="45" spans="1:11" x14ac:dyDescent="0.2">
      <c r="A45" s="17" t="str">
        <f>IF(Requisitos!A45="","",Requisitos!A45)</f>
        <v/>
      </c>
      <c r="B45" s="10" t="str">
        <f>IF($A45="","",Requisitos!B45)</f>
        <v/>
      </c>
      <c r="C45" s="8" t="str">
        <f>IF($A45="","",Requisitos!C45)</f>
        <v/>
      </c>
      <c r="D45" s="8" t="str">
        <f>IF($A45="","",Requisitos!D45)</f>
        <v/>
      </c>
      <c r="E45" s="8" t="str">
        <f>IF($A45="","",Requisitos!E45)</f>
        <v/>
      </c>
      <c r="F45" s="6"/>
      <c r="G45" s="17" t="str">
        <f>IF($A45="","",COUNTIF(Catalogo!$B$5:$B$104,$A45))</f>
        <v/>
      </c>
      <c r="H45" s="17" t="str">
        <f t="shared" si="1"/>
        <v/>
      </c>
      <c r="I45" s="6"/>
      <c r="J45" s="17" t="str">
        <f>IF($A45="","",IF(G45=0,"Sin casos",IF(COUNTIFS(Catalogo!$B$5:$B$104,$A45,Catalogo!$M$5:$M$104,"FALLIDO")&gt;0,"Fallido",IF(COUNTIFS(Catalogo!$B$5:$B$104,$A45,Catalogo!$M$5:$M$104,"APROBADO")=G45,"Aprobado","Pendiente"))))</f>
        <v/>
      </c>
      <c r="K45" s="16"/>
    </row>
    <row r="46" spans="1:11" x14ac:dyDescent="0.2">
      <c r="A46" s="17" t="str">
        <f>IF(Requisitos!A46="","",Requisitos!A46)</f>
        <v/>
      </c>
      <c r="B46" s="10" t="str">
        <f>IF($A46="","",Requisitos!B46)</f>
        <v/>
      </c>
      <c r="C46" s="8" t="str">
        <f>IF($A46="","",Requisitos!C46)</f>
        <v/>
      </c>
      <c r="D46" s="8" t="str">
        <f>IF($A46="","",Requisitos!D46)</f>
        <v/>
      </c>
      <c r="E46" s="8" t="str">
        <f>IF($A46="","",Requisitos!E46)</f>
        <v/>
      </c>
      <c r="F46" s="6"/>
      <c r="G46" s="17" t="str">
        <f>IF($A46="","",COUNTIF(Catalogo!$B$5:$B$104,$A46))</f>
        <v/>
      </c>
      <c r="H46" s="17" t="str">
        <f t="shared" si="1"/>
        <v/>
      </c>
      <c r="I46" s="6"/>
      <c r="J46" s="17" t="str">
        <f>IF($A46="","",IF(G46=0,"Sin casos",IF(COUNTIFS(Catalogo!$B$5:$B$104,$A46,Catalogo!$M$5:$M$104,"FALLIDO")&gt;0,"Fallido",IF(COUNTIFS(Catalogo!$B$5:$B$104,$A46,Catalogo!$M$5:$M$104,"APROBADO")=G46,"Aprobado","Pendiente"))))</f>
        <v/>
      </c>
      <c r="K46" s="16"/>
    </row>
    <row r="47" spans="1:11" x14ac:dyDescent="0.2">
      <c r="A47" s="17" t="str">
        <f>IF(Requisitos!A47="","",Requisitos!A47)</f>
        <v/>
      </c>
      <c r="B47" s="10" t="str">
        <f>IF($A47="","",Requisitos!B47)</f>
        <v/>
      </c>
      <c r="C47" s="8" t="str">
        <f>IF($A47="","",Requisitos!C47)</f>
        <v/>
      </c>
      <c r="D47" s="8" t="str">
        <f>IF($A47="","",Requisitos!D47)</f>
        <v/>
      </c>
      <c r="E47" s="8" t="str">
        <f>IF($A47="","",Requisitos!E47)</f>
        <v/>
      </c>
      <c r="F47" s="6"/>
      <c r="G47" s="17" t="str">
        <f>IF($A47="","",COUNTIF(Catalogo!$B$5:$B$104,$A47))</f>
        <v/>
      </c>
      <c r="H47" s="17" t="str">
        <f t="shared" si="1"/>
        <v/>
      </c>
      <c r="I47" s="6"/>
      <c r="J47" s="17" t="str">
        <f>IF($A47="","",IF(G47=0,"Sin casos",IF(COUNTIFS(Catalogo!$B$5:$B$104,$A47,Catalogo!$M$5:$M$104,"FALLIDO")&gt;0,"Fallido",IF(COUNTIFS(Catalogo!$B$5:$B$104,$A47,Catalogo!$M$5:$M$104,"APROBADO")=G47,"Aprobado","Pendiente"))))</f>
        <v/>
      </c>
      <c r="K47" s="16"/>
    </row>
    <row r="48" spans="1:11" x14ac:dyDescent="0.2">
      <c r="A48" s="17" t="str">
        <f>IF(Requisitos!A48="","",Requisitos!A48)</f>
        <v/>
      </c>
      <c r="B48" s="10" t="str">
        <f>IF($A48="","",Requisitos!B48)</f>
        <v/>
      </c>
      <c r="C48" s="8" t="str">
        <f>IF($A48="","",Requisitos!C48)</f>
        <v/>
      </c>
      <c r="D48" s="8" t="str">
        <f>IF($A48="","",Requisitos!D48)</f>
        <v/>
      </c>
      <c r="E48" s="8" t="str">
        <f>IF($A48="","",Requisitos!E48)</f>
        <v/>
      </c>
      <c r="F48" s="6"/>
      <c r="G48" s="17" t="str">
        <f>IF($A48="","",COUNTIF(Catalogo!$B$5:$B$104,$A48))</f>
        <v/>
      </c>
      <c r="H48" s="17" t="str">
        <f t="shared" si="1"/>
        <v/>
      </c>
      <c r="I48" s="6"/>
      <c r="J48" s="17" t="str">
        <f>IF($A48="","",IF(G48=0,"Sin casos",IF(COUNTIFS(Catalogo!$B$5:$B$104,$A48,Catalogo!$M$5:$M$104,"FALLIDO")&gt;0,"Fallido",IF(COUNTIFS(Catalogo!$B$5:$B$104,$A48,Catalogo!$M$5:$M$104,"APROBADO")=G48,"Aprobado","Pendiente"))))</f>
        <v/>
      </c>
      <c r="K48" s="16"/>
    </row>
    <row r="49" spans="1:11" x14ac:dyDescent="0.2">
      <c r="A49" s="17" t="str">
        <f>IF(Requisitos!A49="","",Requisitos!A49)</f>
        <v/>
      </c>
      <c r="B49" s="10" t="str">
        <f>IF($A49="","",Requisitos!B49)</f>
        <v/>
      </c>
      <c r="C49" s="8" t="str">
        <f>IF($A49="","",Requisitos!C49)</f>
        <v/>
      </c>
      <c r="D49" s="8" t="str">
        <f>IF($A49="","",Requisitos!D49)</f>
        <v/>
      </c>
      <c r="E49" s="8" t="str">
        <f>IF($A49="","",Requisitos!E49)</f>
        <v/>
      </c>
      <c r="F49" s="6"/>
      <c r="G49" s="17" t="str">
        <f>IF($A49="","",COUNTIF(Catalogo!$B$5:$B$104,$A49))</f>
        <v/>
      </c>
      <c r="H49" s="17" t="str">
        <f t="shared" si="1"/>
        <v/>
      </c>
      <c r="I49" s="6"/>
      <c r="J49" s="17" t="str">
        <f>IF($A49="","",IF(G49=0,"Sin casos",IF(COUNTIFS(Catalogo!$B$5:$B$104,$A49,Catalogo!$M$5:$M$104,"FALLIDO")&gt;0,"Fallido",IF(COUNTIFS(Catalogo!$B$5:$B$104,$A49,Catalogo!$M$5:$M$104,"APROBADO")=G49,"Aprobado","Pendiente"))))</f>
        <v/>
      </c>
      <c r="K49" s="16"/>
    </row>
    <row r="50" spans="1:11" x14ac:dyDescent="0.2">
      <c r="A50" s="17" t="str">
        <f>IF(Requisitos!A50="","",Requisitos!A50)</f>
        <v/>
      </c>
      <c r="B50" s="10" t="str">
        <f>IF($A50="","",Requisitos!B50)</f>
        <v/>
      </c>
      <c r="C50" s="8" t="str">
        <f>IF($A50="","",Requisitos!C50)</f>
        <v/>
      </c>
      <c r="D50" s="8" t="str">
        <f>IF($A50="","",Requisitos!D50)</f>
        <v/>
      </c>
      <c r="E50" s="8" t="str">
        <f>IF($A50="","",Requisitos!E50)</f>
        <v/>
      </c>
      <c r="F50" s="6"/>
      <c r="G50" s="17" t="str">
        <f>IF($A50="","",COUNTIF(Catalogo!$B$5:$B$104,$A50))</f>
        <v/>
      </c>
      <c r="H50" s="17" t="str">
        <f t="shared" si="1"/>
        <v/>
      </c>
      <c r="I50" s="6"/>
      <c r="J50" s="17" t="str">
        <f>IF($A50="","",IF(G50=0,"Sin casos",IF(COUNTIFS(Catalogo!$B$5:$B$104,$A50,Catalogo!$M$5:$M$104,"FALLIDO")&gt;0,"Fallido",IF(COUNTIFS(Catalogo!$B$5:$B$104,$A50,Catalogo!$M$5:$M$104,"APROBADO")=G50,"Aprobado","Pendiente"))))</f>
        <v/>
      </c>
      <c r="K50" s="16"/>
    </row>
    <row r="51" spans="1:11" x14ac:dyDescent="0.2">
      <c r="A51" s="17" t="str">
        <f>IF(Requisitos!A51="","",Requisitos!A51)</f>
        <v/>
      </c>
      <c r="B51" s="10" t="str">
        <f>IF($A51="","",Requisitos!B51)</f>
        <v/>
      </c>
      <c r="C51" s="8" t="str">
        <f>IF($A51="","",Requisitos!C51)</f>
        <v/>
      </c>
      <c r="D51" s="8" t="str">
        <f>IF($A51="","",Requisitos!D51)</f>
        <v/>
      </c>
      <c r="E51" s="8" t="str">
        <f>IF($A51="","",Requisitos!E51)</f>
        <v/>
      </c>
      <c r="F51" s="6"/>
      <c r="G51" s="17" t="str">
        <f>IF($A51="","",COUNTIF(Catalogo!$B$5:$B$104,$A51))</f>
        <v/>
      </c>
      <c r="H51" s="17" t="str">
        <f t="shared" si="1"/>
        <v/>
      </c>
      <c r="I51" s="6"/>
      <c r="J51" s="17" t="str">
        <f>IF($A51="","",IF(G51=0,"Sin casos",IF(COUNTIFS(Catalogo!$B$5:$B$104,$A51,Catalogo!$M$5:$M$104,"FALLIDO")&gt;0,"Fallido",IF(COUNTIFS(Catalogo!$B$5:$B$104,$A51,Catalogo!$M$5:$M$104,"APROBADO")=G51,"Aprobado","Pendiente"))))</f>
        <v/>
      </c>
      <c r="K51" s="16"/>
    </row>
    <row r="52" spans="1:11" x14ac:dyDescent="0.2">
      <c r="A52" s="17" t="str">
        <f>IF(Requisitos!A52="","",Requisitos!A52)</f>
        <v/>
      </c>
      <c r="B52" s="10" t="str">
        <f>IF($A52="","",Requisitos!B52)</f>
        <v/>
      </c>
      <c r="C52" s="8" t="str">
        <f>IF($A52="","",Requisitos!C52)</f>
        <v/>
      </c>
      <c r="D52" s="8" t="str">
        <f>IF($A52="","",Requisitos!D52)</f>
        <v/>
      </c>
      <c r="E52" s="8" t="str">
        <f>IF($A52="","",Requisitos!E52)</f>
        <v/>
      </c>
      <c r="F52" s="6"/>
      <c r="G52" s="17" t="str">
        <f>IF($A52="","",COUNTIF(Catalogo!$B$5:$B$104,$A52))</f>
        <v/>
      </c>
      <c r="H52" s="17" t="str">
        <f t="shared" si="1"/>
        <v/>
      </c>
      <c r="I52" s="6"/>
      <c r="J52" s="17" t="str">
        <f>IF($A52="","",IF(G52=0,"Sin casos",IF(COUNTIFS(Catalogo!$B$5:$B$104,$A52,Catalogo!$M$5:$M$104,"FALLIDO")&gt;0,"Fallido",IF(COUNTIFS(Catalogo!$B$5:$B$104,$A52,Catalogo!$M$5:$M$104,"APROBADO")=G52,"Aprobado","Pendiente"))))</f>
        <v/>
      </c>
      <c r="K52" s="16"/>
    </row>
    <row r="53" spans="1:11" x14ac:dyDescent="0.2">
      <c r="A53" s="17" t="str">
        <f>IF(Requisitos!A53="","",Requisitos!A53)</f>
        <v/>
      </c>
      <c r="B53" s="10" t="str">
        <f>IF($A53="","",Requisitos!B53)</f>
        <v/>
      </c>
      <c r="C53" s="8" t="str">
        <f>IF($A53="","",Requisitos!C53)</f>
        <v/>
      </c>
      <c r="D53" s="8" t="str">
        <f>IF($A53="","",Requisitos!D53)</f>
        <v/>
      </c>
      <c r="E53" s="8" t="str">
        <f>IF($A53="","",Requisitos!E53)</f>
        <v/>
      </c>
      <c r="F53" s="6"/>
      <c r="G53" s="17" t="str">
        <f>IF($A53="","",COUNTIF(Catalogo!$B$5:$B$104,$A53))</f>
        <v/>
      </c>
      <c r="H53" s="17" t="str">
        <f t="shared" si="1"/>
        <v/>
      </c>
      <c r="I53" s="6"/>
      <c r="J53" s="17" t="str">
        <f>IF($A53="","",IF(G53=0,"Sin casos",IF(COUNTIFS(Catalogo!$B$5:$B$104,$A53,Catalogo!$M$5:$M$104,"FALLIDO")&gt;0,"Fallido",IF(COUNTIFS(Catalogo!$B$5:$B$104,$A53,Catalogo!$M$5:$M$104,"APROBADO")=G53,"Aprobado","Pendiente"))))</f>
        <v/>
      </c>
      <c r="K53" s="16"/>
    </row>
    <row r="54" spans="1:11" x14ac:dyDescent="0.2">
      <c r="A54" s="17" t="str">
        <f>IF(Requisitos!A54="","",Requisitos!A54)</f>
        <v/>
      </c>
      <c r="B54" s="10" t="str">
        <f>IF($A54="","",Requisitos!B54)</f>
        <v/>
      </c>
      <c r="C54" s="8" t="str">
        <f>IF($A54="","",Requisitos!C54)</f>
        <v/>
      </c>
      <c r="D54" s="8" t="str">
        <f>IF($A54="","",Requisitos!D54)</f>
        <v/>
      </c>
      <c r="E54" s="8" t="str">
        <f>IF($A54="","",Requisitos!E54)</f>
        <v/>
      </c>
      <c r="F54" s="6"/>
      <c r="G54" s="17" t="str">
        <f>IF($A54="","",COUNTIF(Catalogo!$B$5:$B$104,$A54))</f>
        <v/>
      </c>
      <c r="H54" s="17" t="str">
        <f t="shared" si="1"/>
        <v/>
      </c>
      <c r="I54" s="6"/>
      <c r="J54" s="17" t="str">
        <f>IF($A54="","",IF(G54=0,"Sin casos",IF(COUNTIFS(Catalogo!$B$5:$B$104,$A54,Catalogo!$M$5:$M$104,"FALLIDO")&gt;0,"Fallido",IF(COUNTIFS(Catalogo!$B$5:$B$104,$A54,Catalogo!$M$5:$M$104,"APROBADO")=G54,"Aprobado","Pendiente"))))</f>
        <v/>
      </c>
      <c r="K54" s="16"/>
    </row>
    <row r="55" spans="1:11" x14ac:dyDescent="0.2">
      <c r="A55" s="17" t="str">
        <f>IF(Requisitos!A55="","",Requisitos!A55)</f>
        <v/>
      </c>
      <c r="B55" s="10" t="str">
        <f>IF($A55="","",Requisitos!B55)</f>
        <v/>
      </c>
      <c r="C55" s="8" t="str">
        <f>IF($A55="","",Requisitos!C55)</f>
        <v/>
      </c>
      <c r="D55" s="8" t="str">
        <f>IF($A55="","",Requisitos!D55)</f>
        <v/>
      </c>
      <c r="E55" s="8" t="str">
        <f>IF($A55="","",Requisitos!E55)</f>
        <v/>
      </c>
      <c r="F55" s="6"/>
      <c r="G55" s="17" t="str">
        <f>IF($A55="","",COUNTIF(Catalogo!$B$5:$B$104,$A55))</f>
        <v/>
      </c>
      <c r="H55" s="17" t="str">
        <f t="shared" si="1"/>
        <v/>
      </c>
      <c r="I55" s="6"/>
      <c r="J55" s="17" t="str">
        <f>IF($A55="","",IF(G55=0,"Sin casos",IF(COUNTIFS(Catalogo!$B$5:$B$104,$A55,Catalogo!$M$5:$M$104,"FALLIDO")&gt;0,"Fallido",IF(COUNTIFS(Catalogo!$B$5:$B$104,$A55,Catalogo!$M$5:$M$104,"APROBADO")=G55,"Aprobado","Pendiente"))))</f>
        <v/>
      </c>
      <c r="K55" s="16"/>
    </row>
    <row r="56" spans="1:11" x14ac:dyDescent="0.2">
      <c r="A56" s="17" t="str">
        <f>IF(Requisitos!A56="","",Requisitos!A56)</f>
        <v/>
      </c>
      <c r="B56" s="10" t="str">
        <f>IF($A56="","",Requisitos!B56)</f>
        <v/>
      </c>
      <c r="C56" s="8" t="str">
        <f>IF($A56="","",Requisitos!C56)</f>
        <v/>
      </c>
      <c r="D56" s="8" t="str">
        <f>IF($A56="","",Requisitos!D56)</f>
        <v/>
      </c>
      <c r="E56" s="8" t="str">
        <f>IF($A56="","",Requisitos!E56)</f>
        <v/>
      </c>
      <c r="F56" s="6"/>
      <c r="G56" s="17" t="str">
        <f>IF($A56="","",COUNTIF(Catalogo!$B$5:$B$104,$A56))</f>
        <v/>
      </c>
      <c r="H56" s="17" t="str">
        <f t="shared" si="1"/>
        <v/>
      </c>
      <c r="I56" s="6"/>
      <c r="J56" s="17" t="str">
        <f>IF($A56="","",IF(G56=0,"Sin casos",IF(COUNTIFS(Catalogo!$B$5:$B$104,$A56,Catalogo!$M$5:$M$104,"FALLIDO")&gt;0,"Fallido",IF(COUNTIFS(Catalogo!$B$5:$B$104,$A56,Catalogo!$M$5:$M$104,"APROBADO")=G56,"Aprobado","Pendiente"))))</f>
        <v/>
      </c>
      <c r="K56" s="16"/>
    </row>
    <row r="57" spans="1:11" x14ac:dyDescent="0.2">
      <c r="A57" s="17" t="str">
        <f>IF(Requisitos!A57="","",Requisitos!A57)</f>
        <v/>
      </c>
      <c r="B57" s="10" t="str">
        <f>IF($A57="","",Requisitos!B57)</f>
        <v/>
      </c>
      <c r="C57" s="8" t="str">
        <f>IF($A57="","",Requisitos!C57)</f>
        <v/>
      </c>
      <c r="D57" s="8" t="str">
        <f>IF($A57="","",Requisitos!D57)</f>
        <v/>
      </c>
      <c r="E57" s="8" t="str">
        <f>IF($A57="","",Requisitos!E57)</f>
        <v/>
      </c>
      <c r="F57" s="6"/>
      <c r="G57" s="17" t="str">
        <f>IF($A57="","",COUNTIF(Catalogo!$B$5:$B$104,$A57))</f>
        <v/>
      </c>
      <c r="H57" s="17" t="str">
        <f t="shared" si="1"/>
        <v/>
      </c>
      <c r="I57" s="6"/>
      <c r="J57" s="17" t="str">
        <f>IF($A57="","",IF(G57=0,"Sin casos",IF(COUNTIFS(Catalogo!$B$5:$B$104,$A57,Catalogo!$M$5:$M$104,"FALLIDO")&gt;0,"Fallido",IF(COUNTIFS(Catalogo!$B$5:$B$104,$A57,Catalogo!$M$5:$M$104,"APROBADO")=G57,"Aprobado","Pendiente"))))</f>
        <v/>
      </c>
      <c r="K57" s="16"/>
    </row>
    <row r="58" spans="1:11" x14ac:dyDescent="0.2">
      <c r="A58" s="17" t="str">
        <f>IF(Requisitos!A58="","",Requisitos!A58)</f>
        <v/>
      </c>
      <c r="B58" s="10" t="str">
        <f>IF($A58="","",Requisitos!B58)</f>
        <v/>
      </c>
      <c r="C58" s="8" t="str">
        <f>IF($A58="","",Requisitos!C58)</f>
        <v/>
      </c>
      <c r="D58" s="8" t="str">
        <f>IF($A58="","",Requisitos!D58)</f>
        <v/>
      </c>
      <c r="E58" s="8" t="str">
        <f>IF($A58="","",Requisitos!E58)</f>
        <v/>
      </c>
      <c r="F58" s="6"/>
      <c r="G58" s="17" t="str">
        <f>IF($A58="","",COUNTIF(Catalogo!$B$5:$B$104,$A58))</f>
        <v/>
      </c>
      <c r="H58" s="17" t="str">
        <f t="shared" si="1"/>
        <v/>
      </c>
      <c r="I58" s="6"/>
      <c r="J58" s="17" t="str">
        <f>IF($A58="","",IF(G58=0,"Sin casos",IF(COUNTIFS(Catalogo!$B$5:$B$104,$A58,Catalogo!$M$5:$M$104,"FALLIDO")&gt;0,"Fallido",IF(COUNTIFS(Catalogo!$B$5:$B$104,$A58,Catalogo!$M$5:$M$104,"APROBADO")=G58,"Aprobado","Pendiente"))))</f>
        <v/>
      </c>
      <c r="K58" s="16"/>
    </row>
    <row r="59" spans="1:11" x14ac:dyDescent="0.2">
      <c r="A59" s="17" t="str">
        <f>IF(Requisitos!A59="","",Requisitos!A59)</f>
        <v/>
      </c>
      <c r="B59" s="10" t="str">
        <f>IF($A59="","",Requisitos!B59)</f>
        <v/>
      </c>
      <c r="C59" s="8" t="str">
        <f>IF($A59="","",Requisitos!C59)</f>
        <v/>
      </c>
      <c r="D59" s="8" t="str">
        <f>IF($A59="","",Requisitos!D59)</f>
        <v/>
      </c>
      <c r="E59" s="8" t="str">
        <f>IF($A59="","",Requisitos!E59)</f>
        <v/>
      </c>
      <c r="F59" s="6"/>
      <c r="G59" s="17" t="str">
        <f>IF($A59="","",COUNTIF(Catalogo!$B$5:$B$104,$A59))</f>
        <v/>
      </c>
      <c r="H59" s="17" t="str">
        <f t="shared" si="1"/>
        <v/>
      </c>
      <c r="I59" s="6"/>
      <c r="J59" s="17" t="str">
        <f>IF($A59="","",IF(G59=0,"Sin casos",IF(COUNTIFS(Catalogo!$B$5:$B$104,$A59,Catalogo!$M$5:$M$104,"FALLIDO")&gt;0,"Fallido",IF(COUNTIFS(Catalogo!$B$5:$B$104,$A59,Catalogo!$M$5:$M$104,"APROBADO")=G59,"Aprobado","Pendiente"))))</f>
        <v/>
      </c>
      <c r="K59" s="16"/>
    </row>
    <row r="60" spans="1:11" x14ac:dyDescent="0.2">
      <c r="A60" s="17" t="str">
        <f>IF(Requisitos!A60="","",Requisitos!A60)</f>
        <v/>
      </c>
      <c r="B60" s="10" t="str">
        <f>IF($A60="","",Requisitos!B60)</f>
        <v/>
      </c>
      <c r="C60" s="8" t="str">
        <f>IF($A60="","",Requisitos!C60)</f>
        <v/>
      </c>
      <c r="D60" s="8" t="str">
        <f>IF($A60="","",Requisitos!D60)</f>
        <v/>
      </c>
      <c r="E60" s="8" t="str">
        <f>IF($A60="","",Requisitos!E60)</f>
        <v/>
      </c>
      <c r="F60" s="6"/>
      <c r="G60" s="17" t="str">
        <f>IF($A60="","",COUNTIF(Catalogo!$B$5:$B$104,$A60))</f>
        <v/>
      </c>
      <c r="H60" s="17" t="str">
        <f t="shared" si="1"/>
        <v/>
      </c>
      <c r="I60" s="6"/>
      <c r="J60" s="17" t="str">
        <f>IF($A60="","",IF(G60=0,"Sin casos",IF(COUNTIFS(Catalogo!$B$5:$B$104,$A60,Catalogo!$M$5:$M$104,"FALLIDO")&gt;0,"Fallido",IF(COUNTIFS(Catalogo!$B$5:$B$104,$A60,Catalogo!$M$5:$M$104,"APROBADO")=G60,"Aprobado","Pendiente"))))</f>
        <v/>
      </c>
      <c r="K60" s="16"/>
    </row>
    <row r="62" spans="1:11" x14ac:dyDescent="0.2">
      <c r="A62" s="2" t="s">
        <v>286</v>
      </c>
    </row>
  </sheetData>
  <conditionalFormatting sqref="H5:H60">
    <cfRule type="cellIs" dxfId="10" priority="2" operator="equal">
      <formula>"SIN COBERTURA"</formula>
    </cfRule>
    <cfRule type="cellIs" dxfId="9" priority="3" operator="equal">
      <formula>"Cubierto"</formula>
    </cfRule>
  </conditionalFormatting>
  <conditionalFormatting sqref="J5:J60">
    <cfRule type="cellIs" dxfId="8" priority="4" operator="equal">
      <formula>"Fallido"</formula>
    </cfRule>
    <cfRule type="cellIs" dxfId="7" priority="5" operator="equal">
      <formula>"Aprobado"</formula>
    </cfRule>
    <cfRule type="cellIs" dxfId="6" priority="6" operator="equal">
      <formula>"Pendiente"</formula>
    </cfRule>
    <cfRule type="cellIs" dxfId="5" priority="7" operator="equal">
      <formula>"Sin casos"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22" customWidth="1"/>
    <col min="3" max="5" width="16" customWidth="1"/>
  </cols>
  <sheetData>
    <row r="1" spans="1:2" ht="18" x14ac:dyDescent="0.2">
      <c r="A1" s="1" t="s">
        <v>287</v>
      </c>
    </row>
    <row r="2" spans="1:2" x14ac:dyDescent="0.2">
      <c r="A2" s="2" t="s">
        <v>288</v>
      </c>
    </row>
    <row r="4" spans="1:2" ht="31.5" customHeight="1" x14ac:dyDescent="0.2">
      <c r="A4" s="5" t="s">
        <v>289</v>
      </c>
      <c r="B4" s="5" t="s">
        <v>90</v>
      </c>
    </row>
    <row r="5" spans="1:2" x14ac:dyDescent="0.2">
      <c r="A5" s="10" t="s">
        <v>290</v>
      </c>
      <c r="B5" s="20">
        <f>COUNTA(Requisitos!A5:A60)</f>
        <v>16</v>
      </c>
    </row>
    <row r="6" spans="1:2" x14ac:dyDescent="0.2">
      <c r="A6" s="10" t="s">
        <v>291</v>
      </c>
      <c r="B6" s="20">
        <f>COUNTIF(Matriz!G5:G60,"&gt;0")</f>
        <v>14</v>
      </c>
    </row>
    <row r="7" spans="1:2" x14ac:dyDescent="0.2">
      <c r="A7" s="10" t="s">
        <v>292</v>
      </c>
      <c r="B7" s="21">
        <f>IF(B5=0,0,B6/B5)</f>
        <v>0.875</v>
      </c>
    </row>
    <row r="8" spans="1:2" x14ac:dyDescent="0.2">
      <c r="A8" s="10" t="s">
        <v>293</v>
      </c>
      <c r="B8" s="20">
        <f>B5-B6</f>
        <v>2</v>
      </c>
    </row>
    <row r="9" spans="1:2" x14ac:dyDescent="0.2">
      <c r="A9" s="10" t="s">
        <v>294</v>
      </c>
      <c r="B9" s="20">
        <f>COUNTA(Catalogo!A5:A104)</f>
        <v>26</v>
      </c>
    </row>
    <row r="10" spans="1:2" x14ac:dyDescent="0.2">
      <c r="A10" s="10" t="s">
        <v>295</v>
      </c>
      <c r="B10" s="20">
        <f>COUNTIF(Catalogo!E5:E104,"Verificación numérica")</f>
        <v>8</v>
      </c>
    </row>
    <row r="11" spans="1:2" x14ac:dyDescent="0.2">
      <c r="A11" s="10" t="s">
        <v>296</v>
      </c>
      <c r="B11" s="20">
        <f>SUMPRODUCT((Catalogo!B5:B104&lt;&gt;"")*(COUNTIF(Requisitos!A5:A60,Catalogo!B5:B104)=0))</f>
        <v>0</v>
      </c>
    </row>
    <row r="12" spans="1:2" x14ac:dyDescent="0.2">
      <c r="A12" s="10" t="s">
        <v>297</v>
      </c>
      <c r="B12" s="22" t="str">
        <f>IF(B9&gt;=20,"CUMPLE","FALTAN "&amp;(20-B9))</f>
        <v>CUMPLE</v>
      </c>
    </row>
    <row r="13" spans="1:2" x14ac:dyDescent="0.2">
      <c r="A13" s="10" t="s">
        <v>298</v>
      </c>
      <c r="B13" s="22" t="str">
        <f>IF(B10&gt;=8,"CUMPLE","FALTAN "&amp;(8-B10))</f>
        <v>CUMPLE</v>
      </c>
    </row>
    <row r="14" spans="1:2" x14ac:dyDescent="0.2">
      <c r="A14" s="10" t="s">
        <v>299</v>
      </c>
      <c r="B14" s="22" t="str">
        <f>IF(B5=0,"SIN DATOS",IF(B8=0,"CUMPLE","FALTAN "&amp;B8&amp;" REQUISITO(S)"))</f>
        <v>FALTAN 2 REQUISITO(S)</v>
      </c>
    </row>
    <row r="17" spans="1:4" ht="31.5" customHeight="1" x14ac:dyDescent="0.2">
      <c r="A17" s="5" t="s">
        <v>35</v>
      </c>
      <c r="B17" s="5" t="s">
        <v>300</v>
      </c>
      <c r="C17" s="5" t="s">
        <v>301</v>
      </c>
      <c r="D17" s="5" t="s">
        <v>302</v>
      </c>
    </row>
    <row r="18" spans="1:4" x14ac:dyDescent="0.2">
      <c r="A18" s="10" t="s">
        <v>40</v>
      </c>
      <c r="B18" s="8">
        <f>COUNTIF(Requisitos!$C$5:$C$60,A18)</f>
        <v>4</v>
      </c>
      <c r="C18" s="8">
        <f>COUNTIFS(Matriz!$C$5:$C$60,A18,Matriz!$G$5:$G$60,"&gt;0")</f>
        <v>3</v>
      </c>
      <c r="D18" s="23">
        <f>IF(B18=0,"",C18/B18)</f>
        <v>0.75</v>
      </c>
    </row>
    <row r="19" spans="1:4" x14ac:dyDescent="0.2">
      <c r="A19" s="10" t="s">
        <v>52</v>
      </c>
      <c r="B19" s="8">
        <f>COUNTIF(Requisitos!$C$5:$C$60,A19)</f>
        <v>6</v>
      </c>
      <c r="C19" s="8">
        <f>COUNTIFS(Matriz!$C$5:$C$60,A19,Matriz!$G$5:$G$60,"&gt;0")</f>
        <v>6</v>
      </c>
      <c r="D19" s="23">
        <f>IF(B19=0,"",C19/B19)</f>
        <v>1</v>
      </c>
    </row>
    <row r="20" spans="1:4" x14ac:dyDescent="0.2">
      <c r="A20" s="10" t="s">
        <v>63</v>
      </c>
      <c r="B20" s="8">
        <f>COUNTIF(Requisitos!$C$5:$C$60,A20)</f>
        <v>3</v>
      </c>
      <c r="C20" s="8">
        <f>COUNTIFS(Matriz!$C$5:$C$60,A20,Matriz!$G$5:$G$60,"&gt;0")</f>
        <v>3</v>
      </c>
      <c r="D20" s="23">
        <f>IF(B20=0,"",C20/B20)</f>
        <v>1</v>
      </c>
    </row>
    <row r="21" spans="1:4" x14ac:dyDescent="0.2">
      <c r="A21" s="10" t="s">
        <v>70</v>
      </c>
      <c r="B21" s="8">
        <f>COUNTIF(Requisitos!$C$5:$C$60,A21)</f>
        <v>2</v>
      </c>
      <c r="C21" s="8">
        <f>COUNTIFS(Matriz!$C$5:$C$60,A21,Matriz!$G$5:$G$60,"&gt;0")</f>
        <v>2</v>
      </c>
      <c r="D21" s="23">
        <f>IF(B21=0,"",C21/B21)</f>
        <v>1</v>
      </c>
    </row>
    <row r="22" spans="1:4" x14ac:dyDescent="0.2">
      <c r="A22" s="10" t="s">
        <v>78</v>
      </c>
      <c r="B22" s="8">
        <f>COUNTIF(Requisitos!$C$5:$C$60,A22)</f>
        <v>1</v>
      </c>
      <c r="C22" s="8">
        <f>COUNTIFS(Matriz!$C$5:$C$60,A22,Matriz!$G$5:$G$60,"&gt;0")</f>
        <v>0</v>
      </c>
      <c r="D22" s="23">
        <f>IF(B22=0,"",C22/B22)</f>
        <v>0</v>
      </c>
    </row>
    <row r="25" spans="1:4" ht="31.5" customHeight="1" x14ac:dyDescent="0.2">
      <c r="A25" s="5" t="s">
        <v>303</v>
      </c>
      <c r="B25" s="5" t="s">
        <v>304</v>
      </c>
    </row>
    <row r="26" spans="1:4" x14ac:dyDescent="0.2">
      <c r="A26" s="10" t="s">
        <v>162</v>
      </c>
      <c r="B26" s="8">
        <f>COUNTIF(Catalogo!$M$5:$M$104,A26)</f>
        <v>18</v>
      </c>
    </row>
    <row r="27" spans="1:4" x14ac:dyDescent="0.2">
      <c r="A27" s="10" t="s">
        <v>305</v>
      </c>
      <c r="B27" s="8">
        <f>COUNTIF(Catalogo!$M$5:$M$104,A27)</f>
        <v>7</v>
      </c>
    </row>
    <row r="28" spans="1:4" x14ac:dyDescent="0.2">
      <c r="A28" s="10" t="s">
        <v>306</v>
      </c>
      <c r="B28" s="8">
        <f>COUNTIF(Catalogo!$M$5:$M$104,A28)</f>
        <v>1</v>
      </c>
    </row>
    <row r="29" spans="1:4" x14ac:dyDescent="0.2">
      <c r="A29" s="10" t="s">
        <v>307</v>
      </c>
      <c r="B29" s="8">
        <f>COUNTIF(Catalogo!$M$5:$M$104,A29)</f>
        <v>0</v>
      </c>
    </row>
  </sheetData>
  <conditionalFormatting sqref="B12:B14">
    <cfRule type="expression" dxfId="4" priority="2">
      <formula>LEFT(B12,6)="CUMPLE"</formula>
    </cfRule>
    <cfRule type="expression" dxfId="3" priority="3">
      <formula>LEFT(B12,6)="FALTAN"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46" customWidth="1"/>
    <col min="3" max="3" width="22" customWidth="1"/>
    <col min="4" max="4" width="11" customWidth="1"/>
    <col min="5" max="5" width="13" customWidth="1"/>
    <col min="6" max="6" width="11" customWidth="1"/>
    <col min="7" max="7" width="12" customWidth="1"/>
    <col min="8" max="8" width="10" customWidth="1"/>
    <col min="9" max="9" width="46" customWidth="1"/>
    <col min="10" max="10" width="20" customWidth="1"/>
    <col min="11" max="11" width="12" customWidth="1"/>
  </cols>
  <sheetData>
    <row r="1" spans="1:11" ht="18" x14ac:dyDescent="0.2">
      <c r="A1" s="1" t="s">
        <v>308</v>
      </c>
    </row>
    <row r="2" spans="1:11" x14ac:dyDescent="0.2">
      <c r="A2" s="2" t="s">
        <v>309</v>
      </c>
    </row>
    <row r="4" spans="1:11" ht="31.5" customHeight="1" x14ac:dyDescent="0.2">
      <c r="A4" s="5" t="s">
        <v>310</v>
      </c>
      <c r="B4" s="5" t="s">
        <v>311</v>
      </c>
      <c r="C4" s="5" t="s">
        <v>35</v>
      </c>
      <c r="D4" s="5" t="s">
        <v>36</v>
      </c>
      <c r="E4" s="5" t="s">
        <v>312</v>
      </c>
      <c r="F4" s="5" t="s">
        <v>313</v>
      </c>
      <c r="G4" s="5" t="s">
        <v>314</v>
      </c>
      <c r="H4" s="5" t="s">
        <v>112</v>
      </c>
      <c r="I4" s="5" t="s">
        <v>315</v>
      </c>
      <c r="J4" s="5" t="s">
        <v>316</v>
      </c>
      <c r="K4" s="5" t="s">
        <v>317</v>
      </c>
    </row>
    <row r="5" spans="1:11" x14ac:dyDescent="0.2">
      <c r="A5" s="16" t="s">
        <v>318</v>
      </c>
      <c r="B5" s="6" t="s">
        <v>319</v>
      </c>
      <c r="C5" s="6" t="s">
        <v>52</v>
      </c>
      <c r="D5" s="16" t="s">
        <v>320</v>
      </c>
      <c r="E5" s="16">
        <v>4</v>
      </c>
      <c r="F5" s="16">
        <v>5</v>
      </c>
      <c r="G5" s="17">
        <f t="shared" ref="G5:G44" si="0">IF(OR(E5="",F5=""),"",E5*F5)</f>
        <v>20</v>
      </c>
      <c r="H5" s="17" t="str">
        <f t="shared" ref="H5:H44" si="1">IF(G5="","",IF(G5&gt;=15,"Alto",IF(G5&gt;=8,"Medio","Bajo")))</f>
        <v>Alto</v>
      </c>
      <c r="I5" s="6" t="s">
        <v>321</v>
      </c>
      <c r="J5" s="6" t="s">
        <v>322</v>
      </c>
      <c r="K5" s="16" t="s">
        <v>323</v>
      </c>
    </row>
    <row r="6" spans="1:11" ht="28" x14ac:dyDescent="0.2">
      <c r="A6" s="16" t="s">
        <v>324</v>
      </c>
      <c r="B6" s="6" t="s">
        <v>325</v>
      </c>
      <c r="C6" s="6" t="s">
        <v>52</v>
      </c>
      <c r="D6" s="16" t="s">
        <v>320</v>
      </c>
      <c r="E6" s="16">
        <v>3</v>
      </c>
      <c r="F6" s="16">
        <v>5</v>
      </c>
      <c r="G6" s="17">
        <f t="shared" si="0"/>
        <v>15</v>
      </c>
      <c r="H6" s="17" t="str">
        <f t="shared" si="1"/>
        <v>Alto</v>
      </c>
      <c r="I6" s="6" t="s">
        <v>326</v>
      </c>
      <c r="J6" s="6" t="s">
        <v>327</v>
      </c>
      <c r="K6" s="16" t="s">
        <v>323</v>
      </c>
    </row>
    <row r="7" spans="1:11" ht="28" x14ac:dyDescent="0.2">
      <c r="A7" s="16" t="s">
        <v>328</v>
      </c>
      <c r="B7" s="6" t="s">
        <v>329</v>
      </c>
      <c r="C7" s="6" t="s">
        <v>40</v>
      </c>
      <c r="D7" s="16" t="s">
        <v>320</v>
      </c>
      <c r="E7" s="16">
        <v>4</v>
      </c>
      <c r="F7" s="16">
        <v>3</v>
      </c>
      <c r="G7" s="17">
        <f t="shared" si="0"/>
        <v>12</v>
      </c>
      <c r="H7" s="17" t="str">
        <f t="shared" si="1"/>
        <v>Medio</v>
      </c>
      <c r="I7" s="6" t="s">
        <v>330</v>
      </c>
      <c r="J7" s="6" t="s">
        <v>331</v>
      </c>
      <c r="K7" s="16" t="s">
        <v>323</v>
      </c>
    </row>
    <row r="8" spans="1:11" x14ac:dyDescent="0.2">
      <c r="A8" s="16" t="s">
        <v>332</v>
      </c>
      <c r="B8" s="6" t="s">
        <v>333</v>
      </c>
      <c r="C8" s="6" t="s">
        <v>70</v>
      </c>
      <c r="D8" s="16" t="s">
        <v>320</v>
      </c>
      <c r="E8" s="16">
        <v>3</v>
      </c>
      <c r="F8" s="16">
        <v>5</v>
      </c>
      <c r="G8" s="17">
        <f t="shared" si="0"/>
        <v>15</v>
      </c>
      <c r="H8" s="17" t="str">
        <f t="shared" si="1"/>
        <v>Alto</v>
      </c>
      <c r="I8" s="6" t="s">
        <v>334</v>
      </c>
      <c r="J8" s="6" t="s">
        <v>335</v>
      </c>
      <c r="K8" s="16" t="s">
        <v>323</v>
      </c>
    </row>
    <row r="9" spans="1:11" ht="28" x14ac:dyDescent="0.2">
      <c r="A9" s="16" t="s">
        <v>336</v>
      </c>
      <c r="B9" s="6" t="s">
        <v>337</v>
      </c>
      <c r="C9" s="6" t="s">
        <v>52</v>
      </c>
      <c r="D9" s="16" t="s">
        <v>320</v>
      </c>
      <c r="E9" s="16">
        <v>3</v>
      </c>
      <c r="F9" s="16">
        <v>4</v>
      </c>
      <c r="G9" s="17">
        <f t="shared" si="0"/>
        <v>12</v>
      </c>
      <c r="H9" s="17" t="str">
        <f t="shared" si="1"/>
        <v>Medio</v>
      </c>
      <c r="I9" s="6" t="s">
        <v>338</v>
      </c>
      <c r="J9" s="6" t="s">
        <v>241</v>
      </c>
      <c r="K9" s="16" t="s">
        <v>323</v>
      </c>
    </row>
    <row r="10" spans="1:11" x14ac:dyDescent="0.2">
      <c r="A10" s="16" t="s">
        <v>339</v>
      </c>
      <c r="B10" s="6" t="s">
        <v>340</v>
      </c>
      <c r="C10" s="6" t="s">
        <v>63</v>
      </c>
      <c r="D10" s="16" t="s">
        <v>320</v>
      </c>
      <c r="E10" s="16">
        <v>3</v>
      </c>
      <c r="F10" s="16">
        <v>4</v>
      </c>
      <c r="G10" s="17">
        <f t="shared" si="0"/>
        <v>12</v>
      </c>
      <c r="H10" s="17" t="str">
        <f t="shared" si="1"/>
        <v>Medio</v>
      </c>
      <c r="I10" s="6" t="s">
        <v>341</v>
      </c>
      <c r="J10" s="6" t="s">
        <v>281</v>
      </c>
      <c r="K10" s="16" t="s">
        <v>323</v>
      </c>
    </row>
    <row r="11" spans="1:11" x14ac:dyDescent="0.2">
      <c r="A11" s="16" t="s">
        <v>342</v>
      </c>
      <c r="B11" s="6" t="s">
        <v>343</v>
      </c>
      <c r="C11" s="6" t="s">
        <v>63</v>
      </c>
      <c r="D11" s="16" t="s">
        <v>320</v>
      </c>
      <c r="E11" s="16">
        <v>2</v>
      </c>
      <c r="F11" s="16">
        <v>3</v>
      </c>
      <c r="G11" s="17">
        <f t="shared" si="0"/>
        <v>6</v>
      </c>
      <c r="H11" s="17" t="str">
        <f t="shared" si="1"/>
        <v>Bajo</v>
      </c>
      <c r="I11" s="6" t="s">
        <v>344</v>
      </c>
      <c r="J11" s="6" t="s">
        <v>236</v>
      </c>
      <c r="K11" s="16" t="s">
        <v>323</v>
      </c>
    </row>
    <row r="12" spans="1:11" ht="28" x14ac:dyDescent="0.2">
      <c r="A12" s="16" t="s">
        <v>345</v>
      </c>
      <c r="B12" s="6" t="s">
        <v>346</v>
      </c>
      <c r="C12" s="6" t="s">
        <v>78</v>
      </c>
      <c r="D12" s="16" t="s">
        <v>347</v>
      </c>
      <c r="E12" s="16">
        <v>3</v>
      </c>
      <c r="F12" s="16">
        <v>5</v>
      </c>
      <c r="G12" s="17">
        <f t="shared" si="0"/>
        <v>15</v>
      </c>
      <c r="H12" s="17" t="str">
        <f t="shared" si="1"/>
        <v>Alto</v>
      </c>
      <c r="I12" s="6" t="s">
        <v>348</v>
      </c>
      <c r="J12" s="6" t="s">
        <v>349</v>
      </c>
      <c r="K12" s="16" t="s">
        <v>323</v>
      </c>
    </row>
    <row r="13" spans="1:11" x14ac:dyDescent="0.2">
      <c r="A13" s="16" t="s">
        <v>350</v>
      </c>
      <c r="B13" s="6" t="s">
        <v>351</v>
      </c>
      <c r="C13" s="6" t="s">
        <v>78</v>
      </c>
      <c r="D13" s="16" t="s">
        <v>347</v>
      </c>
      <c r="E13" s="16">
        <v>3</v>
      </c>
      <c r="F13" s="16">
        <v>3</v>
      </c>
      <c r="G13" s="17">
        <f t="shared" si="0"/>
        <v>9</v>
      </c>
      <c r="H13" s="17" t="str">
        <f t="shared" si="1"/>
        <v>Medio</v>
      </c>
      <c r="I13" s="6" t="s">
        <v>352</v>
      </c>
      <c r="J13" s="6" t="s">
        <v>349</v>
      </c>
      <c r="K13" s="16" t="s">
        <v>323</v>
      </c>
    </row>
    <row r="14" spans="1:11" x14ac:dyDescent="0.2">
      <c r="A14" s="16" t="s">
        <v>353</v>
      </c>
      <c r="B14" s="6" t="s">
        <v>354</v>
      </c>
      <c r="C14" s="6" t="s">
        <v>78</v>
      </c>
      <c r="D14" s="16" t="s">
        <v>347</v>
      </c>
      <c r="E14" s="16">
        <v>2</v>
      </c>
      <c r="F14" s="16">
        <v>5</v>
      </c>
      <c r="G14" s="17">
        <f t="shared" si="0"/>
        <v>10</v>
      </c>
      <c r="H14" s="17" t="str">
        <f t="shared" si="1"/>
        <v>Medio</v>
      </c>
      <c r="I14" s="6" t="s">
        <v>355</v>
      </c>
      <c r="J14" s="6" t="s">
        <v>349</v>
      </c>
      <c r="K14" s="16" t="s">
        <v>323</v>
      </c>
    </row>
    <row r="15" spans="1:11" x14ac:dyDescent="0.2">
      <c r="A15" s="6"/>
      <c r="B15" s="6"/>
      <c r="C15" s="6"/>
      <c r="D15" s="6"/>
      <c r="E15" s="6"/>
      <c r="F15" s="6"/>
      <c r="G15" s="17" t="str">
        <f t="shared" si="0"/>
        <v/>
      </c>
      <c r="H15" s="17" t="str">
        <f t="shared" si="1"/>
        <v/>
      </c>
      <c r="I15" s="6"/>
      <c r="J15" s="6"/>
      <c r="K15" s="6"/>
    </row>
    <row r="16" spans="1:11" x14ac:dyDescent="0.2">
      <c r="A16" s="6"/>
      <c r="B16" s="6"/>
      <c r="C16" s="6"/>
      <c r="D16" s="6"/>
      <c r="E16" s="6"/>
      <c r="F16" s="6"/>
      <c r="G16" s="17" t="str">
        <f t="shared" si="0"/>
        <v/>
      </c>
      <c r="H16" s="17" t="str">
        <f t="shared" si="1"/>
        <v/>
      </c>
      <c r="I16" s="6"/>
      <c r="J16" s="6"/>
      <c r="K16" s="6"/>
    </row>
    <row r="17" spans="1:11" x14ac:dyDescent="0.2">
      <c r="A17" s="6"/>
      <c r="B17" s="6"/>
      <c r="C17" s="6"/>
      <c r="D17" s="6"/>
      <c r="E17" s="6"/>
      <c r="F17" s="6"/>
      <c r="G17" s="17" t="str">
        <f t="shared" si="0"/>
        <v/>
      </c>
      <c r="H17" s="17" t="str">
        <f t="shared" si="1"/>
        <v/>
      </c>
      <c r="I17" s="6"/>
      <c r="J17" s="6"/>
      <c r="K17" s="6"/>
    </row>
    <row r="18" spans="1:11" x14ac:dyDescent="0.2">
      <c r="A18" s="6"/>
      <c r="B18" s="6"/>
      <c r="C18" s="6"/>
      <c r="D18" s="6"/>
      <c r="E18" s="6"/>
      <c r="F18" s="6"/>
      <c r="G18" s="17" t="str">
        <f t="shared" si="0"/>
        <v/>
      </c>
      <c r="H18" s="17" t="str">
        <f t="shared" si="1"/>
        <v/>
      </c>
      <c r="I18" s="6"/>
      <c r="J18" s="6"/>
      <c r="K18" s="6"/>
    </row>
    <row r="19" spans="1:11" x14ac:dyDescent="0.2">
      <c r="A19" s="6"/>
      <c r="B19" s="6"/>
      <c r="C19" s="6"/>
      <c r="D19" s="6"/>
      <c r="E19" s="6"/>
      <c r="F19" s="6"/>
      <c r="G19" s="17" t="str">
        <f t="shared" si="0"/>
        <v/>
      </c>
      <c r="H19" s="17" t="str">
        <f t="shared" si="1"/>
        <v/>
      </c>
      <c r="I19" s="6"/>
      <c r="J19" s="6"/>
      <c r="K19" s="6"/>
    </row>
    <row r="20" spans="1:11" x14ac:dyDescent="0.2">
      <c r="A20" s="6"/>
      <c r="B20" s="6"/>
      <c r="C20" s="6"/>
      <c r="D20" s="6"/>
      <c r="E20" s="6"/>
      <c r="F20" s="6"/>
      <c r="G20" s="17" t="str">
        <f t="shared" si="0"/>
        <v/>
      </c>
      <c r="H20" s="17" t="str">
        <f t="shared" si="1"/>
        <v/>
      </c>
      <c r="I20" s="6"/>
      <c r="J20" s="6"/>
      <c r="K20" s="6"/>
    </row>
    <row r="21" spans="1:11" x14ac:dyDescent="0.2">
      <c r="A21" s="6"/>
      <c r="B21" s="6"/>
      <c r="C21" s="6"/>
      <c r="D21" s="6"/>
      <c r="E21" s="6"/>
      <c r="F21" s="6"/>
      <c r="G21" s="17" t="str">
        <f t="shared" si="0"/>
        <v/>
      </c>
      <c r="H21" s="17" t="str">
        <f t="shared" si="1"/>
        <v/>
      </c>
      <c r="I21" s="6"/>
      <c r="J21" s="6"/>
      <c r="K21" s="6"/>
    </row>
    <row r="22" spans="1:11" x14ac:dyDescent="0.2">
      <c r="A22" s="6"/>
      <c r="B22" s="6"/>
      <c r="C22" s="6"/>
      <c r="D22" s="6"/>
      <c r="E22" s="6"/>
      <c r="F22" s="6"/>
      <c r="G22" s="17" t="str">
        <f t="shared" si="0"/>
        <v/>
      </c>
      <c r="H22" s="17" t="str">
        <f t="shared" si="1"/>
        <v/>
      </c>
      <c r="I22" s="6"/>
      <c r="J22" s="6"/>
      <c r="K22" s="6"/>
    </row>
    <row r="23" spans="1:11" x14ac:dyDescent="0.2">
      <c r="A23" s="6"/>
      <c r="B23" s="6"/>
      <c r="C23" s="6"/>
      <c r="D23" s="6"/>
      <c r="E23" s="6"/>
      <c r="F23" s="6"/>
      <c r="G23" s="17" t="str">
        <f t="shared" si="0"/>
        <v/>
      </c>
      <c r="H23" s="17" t="str">
        <f t="shared" si="1"/>
        <v/>
      </c>
      <c r="I23" s="6"/>
      <c r="J23" s="6"/>
      <c r="K23" s="6"/>
    </row>
    <row r="24" spans="1:11" x14ac:dyDescent="0.2">
      <c r="A24" s="6"/>
      <c r="B24" s="6"/>
      <c r="C24" s="6"/>
      <c r="D24" s="6"/>
      <c r="E24" s="6"/>
      <c r="F24" s="6"/>
      <c r="G24" s="17" t="str">
        <f t="shared" si="0"/>
        <v/>
      </c>
      <c r="H24" s="17" t="str">
        <f t="shared" si="1"/>
        <v/>
      </c>
      <c r="I24" s="6"/>
      <c r="J24" s="6"/>
      <c r="K24" s="6"/>
    </row>
    <row r="25" spans="1:11" x14ac:dyDescent="0.2">
      <c r="A25" s="6"/>
      <c r="B25" s="6"/>
      <c r="C25" s="6"/>
      <c r="D25" s="6"/>
      <c r="E25" s="6"/>
      <c r="F25" s="6"/>
      <c r="G25" s="17" t="str">
        <f t="shared" si="0"/>
        <v/>
      </c>
      <c r="H25" s="17" t="str">
        <f t="shared" si="1"/>
        <v/>
      </c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17" t="str">
        <f t="shared" si="0"/>
        <v/>
      </c>
      <c r="H26" s="17" t="str">
        <f t="shared" si="1"/>
        <v/>
      </c>
      <c r="I26" s="6"/>
      <c r="J26" s="6"/>
      <c r="K26" s="6"/>
    </row>
    <row r="27" spans="1:11" x14ac:dyDescent="0.2">
      <c r="A27" s="6"/>
      <c r="B27" s="6"/>
      <c r="C27" s="6"/>
      <c r="D27" s="6"/>
      <c r="E27" s="6"/>
      <c r="F27" s="6"/>
      <c r="G27" s="17" t="str">
        <f t="shared" si="0"/>
        <v/>
      </c>
      <c r="H27" s="17" t="str">
        <f t="shared" si="1"/>
        <v/>
      </c>
      <c r="I27" s="6"/>
      <c r="J27" s="6"/>
      <c r="K27" s="6"/>
    </row>
    <row r="28" spans="1:11" x14ac:dyDescent="0.2">
      <c r="A28" s="6"/>
      <c r="B28" s="6"/>
      <c r="C28" s="6"/>
      <c r="D28" s="6"/>
      <c r="E28" s="6"/>
      <c r="F28" s="6"/>
      <c r="G28" s="17" t="str">
        <f t="shared" si="0"/>
        <v/>
      </c>
      <c r="H28" s="17" t="str">
        <f t="shared" si="1"/>
        <v/>
      </c>
      <c r="I28" s="6"/>
      <c r="J28" s="6"/>
      <c r="K28" s="6"/>
    </row>
    <row r="29" spans="1:11" x14ac:dyDescent="0.2">
      <c r="A29" s="6"/>
      <c r="B29" s="6"/>
      <c r="C29" s="6"/>
      <c r="D29" s="6"/>
      <c r="E29" s="6"/>
      <c r="F29" s="6"/>
      <c r="G29" s="17" t="str">
        <f t="shared" si="0"/>
        <v/>
      </c>
      <c r="H29" s="17" t="str">
        <f t="shared" si="1"/>
        <v/>
      </c>
      <c r="I29" s="6"/>
      <c r="J29" s="6"/>
      <c r="K29" s="6"/>
    </row>
    <row r="30" spans="1:11" x14ac:dyDescent="0.2">
      <c r="A30" s="6"/>
      <c r="B30" s="6"/>
      <c r="C30" s="6"/>
      <c r="D30" s="6"/>
      <c r="E30" s="6"/>
      <c r="F30" s="6"/>
      <c r="G30" s="17" t="str">
        <f t="shared" si="0"/>
        <v/>
      </c>
      <c r="H30" s="17" t="str">
        <f t="shared" si="1"/>
        <v/>
      </c>
      <c r="I30" s="6"/>
      <c r="J30" s="6"/>
      <c r="K30" s="6"/>
    </row>
    <row r="31" spans="1:11" x14ac:dyDescent="0.2">
      <c r="A31" s="6"/>
      <c r="B31" s="6"/>
      <c r="C31" s="6"/>
      <c r="D31" s="6"/>
      <c r="E31" s="6"/>
      <c r="F31" s="6"/>
      <c r="G31" s="17" t="str">
        <f t="shared" si="0"/>
        <v/>
      </c>
      <c r="H31" s="17" t="str">
        <f t="shared" si="1"/>
        <v/>
      </c>
      <c r="I31" s="6"/>
      <c r="J31" s="6"/>
      <c r="K31" s="6"/>
    </row>
    <row r="32" spans="1:11" x14ac:dyDescent="0.2">
      <c r="A32" s="6"/>
      <c r="B32" s="6"/>
      <c r="C32" s="6"/>
      <c r="D32" s="6"/>
      <c r="E32" s="6"/>
      <c r="F32" s="6"/>
      <c r="G32" s="17" t="str">
        <f t="shared" si="0"/>
        <v/>
      </c>
      <c r="H32" s="17" t="str">
        <f t="shared" si="1"/>
        <v/>
      </c>
      <c r="I32" s="6"/>
      <c r="J32" s="6"/>
      <c r="K32" s="6"/>
    </row>
    <row r="33" spans="1:11" x14ac:dyDescent="0.2">
      <c r="A33" s="6"/>
      <c r="B33" s="6"/>
      <c r="C33" s="6"/>
      <c r="D33" s="6"/>
      <c r="E33" s="6"/>
      <c r="F33" s="6"/>
      <c r="G33" s="17" t="str">
        <f t="shared" si="0"/>
        <v/>
      </c>
      <c r="H33" s="17" t="str">
        <f t="shared" si="1"/>
        <v/>
      </c>
      <c r="I33" s="6"/>
      <c r="J33" s="6"/>
      <c r="K33" s="6"/>
    </row>
    <row r="34" spans="1:11" x14ac:dyDescent="0.2">
      <c r="A34" s="6"/>
      <c r="B34" s="6"/>
      <c r="C34" s="6"/>
      <c r="D34" s="6"/>
      <c r="E34" s="6"/>
      <c r="F34" s="6"/>
      <c r="G34" s="17" t="str">
        <f t="shared" si="0"/>
        <v/>
      </c>
      <c r="H34" s="17" t="str">
        <f t="shared" si="1"/>
        <v/>
      </c>
      <c r="I34" s="6"/>
      <c r="J34" s="6"/>
      <c r="K34" s="6"/>
    </row>
    <row r="35" spans="1:11" x14ac:dyDescent="0.2">
      <c r="A35" s="6"/>
      <c r="B35" s="6"/>
      <c r="C35" s="6"/>
      <c r="D35" s="6"/>
      <c r="E35" s="6"/>
      <c r="F35" s="6"/>
      <c r="G35" s="17" t="str">
        <f t="shared" si="0"/>
        <v/>
      </c>
      <c r="H35" s="17" t="str">
        <f t="shared" si="1"/>
        <v/>
      </c>
      <c r="I35" s="6"/>
      <c r="J35" s="6"/>
      <c r="K35" s="6"/>
    </row>
    <row r="36" spans="1:11" x14ac:dyDescent="0.2">
      <c r="A36" s="6"/>
      <c r="B36" s="6"/>
      <c r="C36" s="6"/>
      <c r="D36" s="6"/>
      <c r="E36" s="6"/>
      <c r="F36" s="6"/>
      <c r="G36" s="17" t="str">
        <f t="shared" si="0"/>
        <v/>
      </c>
      <c r="H36" s="17" t="str">
        <f t="shared" si="1"/>
        <v/>
      </c>
      <c r="I36" s="6"/>
      <c r="J36" s="6"/>
      <c r="K36" s="6"/>
    </row>
    <row r="37" spans="1:11" x14ac:dyDescent="0.2">
      <c r="A37" s="6"/>
      <c r="B37" s="6"/>
      <c r="C37" s="6"/>
      <c r="D37" s="6"/>
      <c r="E37" s="6"/>
      <c r="F37" s="6"/>
      <c r="G37" s="17" t="str">
        <f t="shared" si="0"/>
        <v/>
      </c>
      <c r="H37" s="17" t="str">
        <f t="shared" si="1"/>
        <v/>
      </c>
      <c r="I37" s="6"/>
      <c r="J37" s="6"/>
      <c r="K37" s="6"/>
    </row>
    <row r="38" spans="1:11" x14ac:dyDescent="0.2">
      <c r="A38" s="6"/>
      <c r="B38" s="6"/>
      <c r="C38" s="6"/>
      <c r="D38" s="6"/>
      <c r="E38" s="6"/>
      <c r="F38" s="6"/>
      <c r="G38" s="17" t="str">
        <f t="shared" si="0"/>
        <v/>
      </c>
      <c r="H38" s="17" t="str">
        <f t="shared" si="1"/>
        <v/>
      </c>
      <c r="I38" s="6"/>
      <c r="J38" s="6"/>
      <c r="K38" s="6"/>
    </row>
    <row r="39" spans="1:11" x14ac:dyDescent="0.2">
      <c r="A39" s="6"/>
      <c r="B39" s="6"/>
      <c r="C39" s="6"/>
      <c r="D39" s="6"/>
      <c r="E39" s="6"/>
      <c r="F39" s="6"/>
      <c r="G39" s="17" t="str">
        <f t="shared" si="0"/>
        <v/>
      </c>
      <c r="H39" s="17" t="str">
        <f t="shared" si="1"/>
        <v/>
      </c>
      <c r="I39" s="6"/>
      <c r="J39" s="6"/>
      <c r="K39" s="6"/>
    </row>
    <row r="40" spans="1:11" x14ac:dyDescent="0.2">
      <c r="A40" s="6"/>
      <c r="B40" s="6"/>
      <c r="C40" s="6"/>
      <c r="D40" s="6"/>
      <c r="E40" s="6"/>
      <c r="F40" s="6"/>
      <c r="G40" s="17" t="str">
        <f t="shared" si="0"/>
        <v/>
      </c>
      <c r="H40" s="17" t="str">
        <f t="shared" si="1"/>
        <v/>
      </c>
      <c r="I40" s="6"/>
      <c r="J40" s="6"/>
      <c r="K40" s="6"/>
    </row>
    <row r="41" spans="1:11" x14ac:dyDescent="0.2">
      <c r="A41" s="6"/>
      <c r="B41" s="6"/>
      <c r="C41" s="6"/>
      <c r="D41" s="6"/>
      <c r="E41" s="6"/>
      <c r="F41" s="6"/>
      <c r="G41" s="17" t="str">
        <f t="shared" si="0"/>
        <v/>
      </c>
      <c r="H41" s="17" t="str">
        <f t="shared" si="1"/>
        <v/>
      </c>
      <c r="I41" s="6"/>
      <c r="J41" s="6"/>
      <c r="K41" s="6"/>
    </row>
    <row r="42" spans="1:11" x14ac:dyDescent="0.2">
      <c r="A42" s="6"/>
      <c r="B42" s="6"/>
      <c r="C42" s="6"/>
      <c r="D42" s="6"/>
      <c r="E42" s="6"/>
      <c r="F42" s="6"/>
      <c r="G42" s="17" t="str">
        <f t="shared" si="0"/>
        <v/>
      </c>
      <c r="H42" s="17" t="str">
        <f t="shared" si="1"/>
        <v/>
      </c>
      <c r="I42" s="6"/>
      <c r="J42" s="6"/>
      <c r="K42" s="6"/>
    </row>
    <row r="43" spans="1:11" x14ac:dyDescent="0.2">
      <c r="A43" s="6"/>
      <c r="B43" s="6"/>
      <c r="C43" s="6"/>
      <c r="D43" s="6"/>
      <c r="E43" s="6"/>
      <c r="F43" s="6"/>
      <c r="G43" s="17" t="str">
        <f t="shared" si="0"/>
        <v/>
      </c>
      <c r="H43" s="17" t="str">
        <f t="shared" si="1"/>
        <v/>
      </c>
      <c r="I43" s="6"/>
      <c r="J43" s="6"/>
      <c r="K43" s="6"/>
    </row>
    <row r="44" spans="1:11" x14ac:dyDescent="0.2">
      <c r="A44" s="6"/>
      <c r="B44" s="6"/>
      <c r="C44" s="6"/>
      <c r="D44" s="6"/>
      <c r="E44" s="6"/>
      <c r="F44" s="6"/>
      <c r="G44" s="17" t="str">
        <f t="shared" si="0"/>
        <v/>
      </c>
      <c r="H44" s="17" t="str">
        <f t="shared" si="1"/>
        <v/>
      </c>
      <c r="I44" s="6"/>
      <c r="J44" s="6"/>
      <c r="K44" s="6"/>
    </row>
  </sheetData>
  <conditionalFormatting sqref="H5:H44">
    <cfRule type="cellIs" dxfId="2" priority="2" operator="equal">
      <formula>"Alto"</formula>
    </cfRule>
    <cfRule type="cellIs" dxfId="1" priority="3" operator="equal">
      <formula>"Medio"</formula>
    </cfRule>
    <cfRule type="cellIs" dxfId="0" priority="4" operator="equal">
      <formula>"Bajo"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Listas!$A$2:$A$6</xm:f>
          </x14:formula1>
          <x14:formula2>
            <xm:f>0</xm:f>
          </x14:formula2>
          <xm:sqref>C5:C44</xm:sqref>
        </x14:dataValidation>
        <x14:dataValidation type="list" allowBlank="1" xr:uid="{00000000-0002-0000-0700-000001000000}">
          <x14:formula1>
            <xm:f>Listas!$G$2:$G$3</xm:f>
          </x14:formula1>
          <x14:formula2>
            <xm:f>0</xm:f>
          </x14:formula2>
          <xm:sqref>D5:D44</xm:sqref>
        </x14:dataValidation>
        <x14:dataValidation type="list" allowBlank="1" xr:uid="{00000000-0002-0000-0700-000002000000}">
          <x14:formula1>
            <xm:f>Listas!$H$2:$H$6</xm:f>
          </x14:formula1>
          <x14:formula2>
            <xm:f>0</xm:f>
          </x14:formula2>
          <xm:sqref>E5:F44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zoomScaleNormal="100" workbookViewId="0"/>
  </sheetViews>
  <sheetFormatPr baseColWidth="10" defaultColWidth="8.6640625" defaultRowHeight="15" x14ac:dyDescent="0.2"/>
  <cols>
    <col min="1" max="8" width="26" customWidth="1"/>
  </cols>
  <sheetData>
    <row r="1" spans="1:8" x14ac:dyDescent="0.2">
      <c r="A1" s="24" t="s">
        <v>35</v>
      </c>
      <c r="B1" s="24" t="s">
        <v>36</v>
      </c>
      <c r="C1" s="24" t="s">
        <v>37</v>
      </c>
      <c r="D1" s="24" t="s">
        <v>112</v>
      </c>
      <c r="E1" s="24" t="s">
        <v>113</v>
      </c>
      <c r="F1" s="24" t="s">
        <v>120</v>
      </c>
      <c r="G1" s="24" t="s">
        <v>356</v>
      </c>
      <c r="H1" s="24" t="s">
        <v>357</v>
      </c>
    </row>
    <row r="2" spans="1:8" x14ac:dyDescent="0.2">
      <c r="A2" s="25" t="s">
        <v>40</v>
      </c>
      <c r="B2" s="25" t="s">
        <v>41</v>
      </c>
      <c r="C2" s="25" t="s">
        <v>42</v>
      </c>
      <c r="D2" s="25" t="s">
        <v>125</v>
      </c>
      <c r="E2" s="25" t="s">
        <v>126</v>
      </c>
      <c r="F2" s="25" t="s">
        <v>162</v>
      </c>
      <c r="G2" s="25" t="s">
        <v>320</v>
      </c>
      <c r="H2" s="25">
        <v>1</v>
      </c>
    </row>
    <row r="3" spans="1:8" x14ac:dyDescent="0.2">
      <c r="A3" s="25" t="s">
        <v>52</v>
      </c>
      <c r="B3" s="25" t="s">
        <v>73</v>
      </c>
      <c r="C3" s="25" t="s">
        <v>47</v>
      </c>
      <c r="D3" s="25" t="s">
        <v>181</v>
      </c>
      <c r="E3" s="25" t="s">
        <v>213</v>
      </c>
      <c r="F3" s="25" t="s">
        <v>305</v>
      </c>
      <c r="G3" s="25" t="s">
        <v>347</v>
      </c>
      <c r="H3" s="25">
        <v>2</v>
      </c>
    </row>
    <row r="4" spans="1:8" x14ac:dyDescent="0.2">
      <c r="A4" s="25" t="s">
        <v>63</v>
      </c>
      <c r="C4" s="25" t="s">
        <v>358</v>
      </c>
      <c r="D4" s="25" t="s">
        <v>230</v>
      </c>
      <c r="E4" s="25" t="s">
        <v>156</v>
      </c>
      <c r="F4" s="25" t="s">
        <v>306</v>
      </c>
      <c r="H4" s="25">
        <v>3</v>
      </c>
    </row>
    <row r="5" spans="1:8" x14ac:dyDescent="0.2">
      <c r="A5" s="25" t="s">
        <v>70</v>
      </c>
      <c r="D5" s="25" t="s">
        <v>359</v>
      </c>
      <c r="E5" s="25" t="s">
        <v>182</v>
      </c>
      <c r="F5" s="25" t="s">
        <v>307</v>
      </c>
      <c r="H5" s="25">
        <v>4</v>
      </c>
    </row>
    <row r="6" spans="1:8" x14ac:dyDescent="0.2">
      <c r="A6" s="25" t="s">
        <v>78</v>
      </c>
      <c r="D6" s="25" t="s">
        <v>242</v>
      </c>
      <c r="E6" s="25" t="s">
        <v>360</v>
      </c>
      <c r="H6" s="25">
        <v>5</v>
      </c>
    </row>
    <row r="7" spans="1:8" x14ac:dyDescent="0.2">
      <c r="D7" s="25" t="s">
        <v>193</v>
      </c>
      <c r="E7" s="25" t="s">
        <v>361</v>
      </c>
    </row>
    <row r="8" spans="1:8" x14ac:dyDescent="0.2">
      <c r="D8" s="25" t="s">
        <v>362</v>
      </c>
      <c r="E8" s="25" t="s">
        <v>231</v>
      </c>
    </row>
    <row r="9" spans="1:8" x14ac:dyDescent="0.2">
      <c r="E9" s="25" t="s">
        <v>363</v>
      </c>
    </row>
    <row r="10" spans="1:8" x14ac:dyDescent="0.2">
      <c r="A10" s="2" t="s">
        <v>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Requisitos</vt:lpstr>
      <vt:lpstr>Calculo_Referencia</vt:lpstr>
      <vt:lpstr>Catalogo</vt:lpstr>
      <vt:lpstr>Verificacion</vt:lpstr>
      <vt:lpstr>Matriz</vt:lpstr>
      <vt:lpstr>Cobertura</vt:lpstr>
      <vt:lpstr>Riesgos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Alfredo Ramirez Espinosa</cp:lastModifiedBy>
  <cp:revision>1</cp:revision>
  <dcterms:created xsi:type="dcterms:W3CDTF">2026-10-15T19:20:21Z</dcterms:created>
  <dcterms:modified xsi:type="dcterms:W3CDTF">2026-10-15T22:29:27Z</dcterms:modified>
  <dc:language>en-US</dc:language>
</cp:coreProperties>
</file>